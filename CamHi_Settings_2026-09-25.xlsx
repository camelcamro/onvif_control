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Befehle" sheetId="2" state="visible" r:id="rId4"/>
    <sheet name="Parameter-Lexikon" sheetId="3" state="visible" r:id="rId5"/>
    <sheet name="Rohdaten" sheetId="4" state="visible" r:id="rId6"/>
    <sheet name="Legende" sheetId="5" state="visible" r:id="rId7"/>
  </sheets>
  <definedNames>
    <definedName function="false" hidden="true" localSheetId="2" name="_xlnm._FilterDatabase" vbProcedure="false">'Parameter-Lexikon'!$A$1:$J$26</definedName>
    <definedName function="false" hidden="true" localSheetId="0" name="_xlnm._FilterDatabase" vbProcedure="false">Übersicht!$A$1:$R$29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<sst xmlns="http://schemas.openxmlformats.org/spreadsheetml/2006/main" count="1171" uniqueCount="365">
  <si>
    <t xml:space="preserve">IP</t>
  </si>
  <si>
    <t xml:space="preserve">CGI-Status</t>
  </si>
  <si>
    <t xml:space="preserve">Smart-Tracking unterstützt
(smartrack_
flag)</t>
  </si>
  <si>
    <t xml:space="preserve">SmartTrack
(smartrack_
enable)</t>
  </si>
  <si>
    <t xml:space="preserve">Tracking-Timeout s
(smartrack_
timeout)</t>
  </si>
  <si>
    <t xml:space="preserve">Tracking-Modus
(smartrack_
mode)</t>
  </si>
  <si>
    <t xml:space="preserve">Auto-Zoom far→near
(smartrack_
f2n)</t>
  </si>
  <si>
    <t xml:space="preserve">Auto-Zoom near→far
(smartrack_
n2f)</t>
  </si>
  <si>
    <t xml:space="preserve">Auto-Zoom Timeout s
(smartrack_
n2ftimeout)</t>
  </si>
  <si>
    <t xml:space="preserve">Close the alarm PTZ movement
(ptzalarmmask)</t>
  </si>
  <si>
    <t xml:space="preserve">Status-LED
(light_
enable)</t>
  </si>
  <si>
    <t xml:space="preserve">PTZ speed
(pan/tiltspeed)</t>
  </si>
  <si>
    <t xml:space="preserve">Cruise laps
(pan/tiltscan)</t>
  </si>
  <si>
    <t xml:space="preserve">Centered While Self Check
(movehome)</t>
  </si>
  <si>
    <t xml:space="preserve">Alarm-Preset
(alarm
presetindex)</t>
  </si>
  <si>
    <t xml:space="preserve">Wächter-Preset
(watch
presetindex)</t>
  </si>
  <si>
    <t xml:space="preserve">Power-On-Preset
(poweron
presetindex)</t>
  </si>
  <si>
    <t xml:space="preserve">Richtung pan / tilt
(pandir / tiltdir)</t>
  </si>
  <si>
    <t xml:space="preserve">172.20.1.171</t>
  </si>
  <si>
    <t xml:space="preserve">OK</t>
  </si>
  <si>
    <t xml:space="preserve">nein</t>
  </si>
  <si>
    <t xml:space="preserve">Aus</t>
  </si>
  <si>
    <t xml:space="preserve">-</t>
  </si>
  <si>
    <t xml:space="preserve">Ein</t>
  </si>
  <si>
    <t xml:space="preserve">172.20.1.172</t>
  </si>
  <si>
    <t xml:space="preserve">ja</t>
  </si>
  <si>
    <t xml:space="preserve">172.20.1.173</t>
  </si>
  <si>
    <t xml:space="preserve">172.20.1.174</t>
  </si>
  <si>
    <t xml:space="preserve">172.20.1.175</t>
  </si>
  <si>
    <t xml:space="preserve">172.20.1.176</t>
  </si>
  <si>
    <t xml:space="preserve">172.20.1.177</t>
  </si>
  <si>
    <t xml:space="preserve">172.20.1.178</t>
  </si>
  <si>
    <t xml:space="preserve">172.20.1.179</t>
  </si>
  <si>
    <t xml:space="preserve">172.20.1.180</t>
  </si>
  <si>
    <t xml:space="preserve">172.20.1.181</t>
  </si>
  <si>
    <t xml:space="preserve">172.20.1.182</t>
  </si>
  <si>
    <t xml:space="preserve">172.20.1.183</t>
  </si>
  <si>
    <t xml:space="preserve">172.20.1.184</t>
  </si>
  <si>
    <t xml:space="preserve">172.20.1.185</t>
  </si>
  <si>
    <t xml:space="preserve">172.20.1.186</t>
  </si>
  <si>
    <t xml:space="preserve">OK – alter Pfad /web/</t>
  </si>
  <si>
    <t xml:space="preserve">172.20.1.187</t>
  </si>
  <si>
    <t xml:space="preserve">172.20.1.188</t>
  </si>
  <si>
    <t xml:space="preserve">172.20.1.189</t>
  </si>
  <si>
    <t xml:space="preserve">172.20.1.190</t>
  </si>
  <si>
    <t xml:space="preserve">172.20.1.191</t>
  </si>
  <si>
    <t xml:space="preserve">172.20.1.192</t>
  </si>
  <si>
    <t xml:space="preserve">172.20.1.193</t>
  </si>
  <si>
    <t xml:space="preserve">172.20.1.194</t>
  </si>
  <si>
    <t xml:space="preserve">172.20.1.195</t>
  </si>
  <si>
    <t xml:space="preserve">172.20.1.196</t>
  </si>
  <si>
    <t xml:space="preserve">172.20.1.197</t>
  </si>
  <si>
    <t xml:space="preserve">172.20.1.198</t>
  </si>
  <si>
    <t xml:space="preserve">Zusammenfassung</t>
  </si>
  <si>
    <t xml:space="preserve">Kameras gesamt</t>
  </si>
  <si>
    <t xml:space="preserve">CGI OK (Standard-Pfad /cgi-bin/)</t>
  </si>
  <si>
    <t xml:space="preserve">CGI OK nur über alten Pfad /web/cgi-bin/</t>
  </si>
  <si>
    <t xml:space="preserve">CGI nicht erreichbar</t>
  </si>
  <si>
    <t xml:space="preserve">Smart-Tracking unterstützt</t>
  </si>
  <si>
    <t xml:space="preserve">SmartTrack eingeschaltet</t>
  </si>
  <si>
    <t xml:space="preserve">Kameras mit Auto-Zoom-Parametern</t>
  </si>
  <si>
    <t xml:space="preserve">Alarm bei PTZ-Bewegung unterdrückt (Ein)</t>
  </si>
  <si>
    <t xml:space="preserve">Status-LED eingeschaltet</t>
  </si>
  <si>
    <t xml:space="preserve">Quelle: curl-Abfrage param.cgi (getmotorattr, getsmartrackattr, getlightattr), 25.09.2026. "-" = Wert von der Kamera nicht geliefert (grau).</t>
  </si>
  <si>
    <t xml:space="preserve">ACHTUNG .186 und .196 (gelb): alte Hipcam-Firmware. Der Standard-Pfad /cgi-bin/hi3510/param.cgi liefert HTTP 404 ("invalid request").</t>
  </si>
  <si>
    <t xml:space="preserve">Abruf dort nur über: http://&lt;IP&gt;/web/cgi-bin/hi3510/param.cgi?cmd=getmotorattr&amp;cmd=getlightattr  (ohne getsmartrackattr – kein Smart-Tracking).</t>
  </si>
  <si>
    <t xml:space="preserve">Setzen dort per POST an /web/cgi-bin/hi3510/param.cgi, z. B. -d "cmd=setlightattr&amp;-light_enable=off" (aus Wireshark-Mitschnitt der .186 ermittelt).</t>
  </si>
  <si>
    <t xml:space="preserve">⛔ poweronpresetindex darf NICHT gesetzt werden (siehe Blatt Befehle). .182 steht seit dem Test vom 25.09.2026 auf 1 statt 0 – per CGI nicht rücksetzbar.</t>
  </si>
  <si>
    <t xml:space="preserve">⚠ Alte Firmware .186/.196: KEIN setsmartrackattr/getsmartrackattr senden – unbekannter Befehl → "Error 404 invalid request", Abbruch aller nachfolgenden Blöcke.</t>
  </si>
  <si>
    <t xml:space="preserve">1. Werte abfragen – alle 28 Kameras</t>
  </si>
  <si>
    <t xml:space="preserve">Jeder Befehl ist einzeln kopierbar. Alle 28 auf einmal: Zellen D (Zeilen unten) markieren, kopieren, in die Shell einfügen. Das "sleep 5" am Zeilenende sorgt für 5 Sekunden Pause zwischen den Kameras.</t>
  </si>
  <si>
    <t xml:space="preserve">Nr.</t>
  </si>
  <si>
    <t xml:space="preserve">Firmware / Pfad</t>
  </si>
  <si>
    <t xml:space="preserve">curl-Befehl (Abfrage)</t>
  </si>
  <si>
    <t xml:space="preserve">Standard: /cgi-bin/hi3510/param.cgi</t>
  </si>
  <si>
    <t xml:space="preserve">echo "===== 172.20.1.171 ====="; curl -s -m 5 -u admin:camel111 "http://172.20.1.171/cgi-bin/hi3510/param.cgi?cmd=getmotorattr&amp;cmd=getsmartrackattr&amp;cmd=getlightattr"; echo; sleep 5</t>
  </si>
  <si>
    <t xml:space="preserve">echo "===== 172.20.1.172 ====="; curl -s -m 5 -u admin:camel111 "http://172.20.1.172/cgi-bin/hi3510/param.cgi?cmd=getmotorattr&amp;cmd=getsmartrackattr&amp;cmd=getlightattr"; echo; sleep 5</t>
  </si>
  <si>
    <t xml:space="preserve">echo "===== 172.20.1.173 ====="; curl -s -m 5 -u admin:camel111 "http://172.20.1.173/cgi-bin/hi3510/param.cgi?cmd=getmotorattr&amp;cmd=getsmartrackattr&amp;cmd=getlightattr"; echo; sleep 5</t>
  </si>
  <si>
    <t xml:space="preserve">echo "===== 172.20.1.174 ====="; curl -s -m 5 -u admin:camel111 "http://172.20.1.174/cgi-bin/hi3510/param.cgi?cmd=getmotorattr&amp;cmd=getsmartrackattr&amp;cmd=getlightattr"; echo; sleep 5</t>
  </si>
  <si>
    <t xml:space="preserve">echo "===== 172.20.1.175 ====="; curl -s -m 5 -u admin:camel111 "http://172.20.1.175/cgi-bin/hi3510/param.cgi?cmd=getmotorattr&amp;cmd=getsmartrackattr&amp;cmd=getlightattr"; echo; sleep 5</t>
  </si>
  <si>
    <t xml:space="preserve">echo "===== 172.20.1.176 ====="; curl -s -m 5 -u admin:camel111 "http://172.20.1.176/cgi-bin/hi3510/param.cgi?cmd=getmotorattr&amp;cmd=getsmartrackattr&amp;cmd=getlightattr"; echo; sleep 5</t>
  </si>
  <si>
    <t xml:space="preserve">echo "===== 172.20.1.177 ====="; curl -s -m 5 -u admin:camel111 "http://172.20.1.177/cgi-bin/hi3510/param.cgi?cmd=getmotorattr&amp;cmd=getsmartrackattr&amp;cmd=getlightattr"; echo; sleep 5</t>
  </si>
  <si>
    <t xml:space="preserve">echo "===== 172.20.1.178 ====="; curl -s -m 5 -u admin:camel111 "http://172.20.1.178/cgi-bin/hi3510/param.cgi?cmd=getmotorattr&amp;cmd=getsmartrackattr&amp;cmd=getlightattr"; echo; sleep 5</t>
  </si>
  <si>
    <t xml:space="preserve">echo "===== 172.20.1.179 ====="; curl -s -m 5 -u admin:camel111 "http://172.20.1.179/cgi-bin/hi3510/param.cgi?cmd=getmotorattr&amp;cmd=getsmartrackattr&amp;cmd=getlightattr"; echo; sleep 5</t>
  </si>
  <si>
    <t xml:space="preserve">echo "===== 172.20.1.180 ====="; curl -s -m 5 -u admin:camel111 "http://172.20.1.180/cgi-bin/hi3510/param.cgi?cmd=getmotorattr&amp;cmd=getsmartrackattr&amp;cmd=getlightattr"; echo; sleep 5</t>
  </si>
  <si>
    <t xml:space="preserve">echo "===== 172.20.1.181 ====="; curl -s -m 5 -u admin:camel111 "http://172.20.1.181/cgi-bin/hi3510/param.cgi?cmd=getmotorattr&amp;cmd=getsmartrackattr&amp;cmd=getlightattr"; echo; sleep 5</t>
  </si>
  <si>
    <t xml:space="preserve">echo "===== 172.20.1.182 ====="; curl -s -m 5 -u admin:camel111 "http://172.20.1.182/cgi-bin/hi3510/param.cgi?cmd=getmotorattr&amp;cmd=getsmartrackattr&amp;cmd=getlightattr"; echo; sleep 5</t>
  </si>
  <si>
    <t xml:space="preserve">echo "===== 172.20.1.183 ====="; curl -s -m 5 -u admin:camel111 "http://172.20.1.183/cgi-bin/hi3510/param.cgi?cmd=getmotorattr&amp;cmd=getsmartrackattr&amp;cmd=getlightattr"; echo; sleep 5</t>
  </si>
  <si>
    <t xml:space="preserve">echo "===== 172.20.1.184 ====="; curl -s -m 5 -u admin:camel111 "http://172.20.1.184/cgi-bin/hi3510/param.cgi?cmd=getmotorattr&amp;cmd=getsmartrackattr&amp;cmd=getlightattr"; echo; sleep 5</t>
  </si>
  <si>
    <t xml:space="preserve">echo "===== 172.20.1.185 ====="; curl -s -m 5 -u admin:camel111 "http://172.20.1.185/cgi-bin/hi3510/param.cgi?cmd=getmotorattr&amp;cmd=getsmartrackattr&amp;cmd=getlightattr"; echo; sleep 5</t>
  </si>
  <si>
    <t xml:space="preserve">ALT: /web/cgi-bin/hi3510/param.cgi</t>
  </si>
  <si>
    <t xml:space="preserve">echo "===== 172.20.1.186 ====="; curl -s -m 5 -u admin:camel111 "http://172.20.1.186/web/cgi-bin/hi3510/param.cgi?cmd=getmotorattr&amp;cmd=getlightattr"; echo; sleep 5</t>
  </si>
  <si>
    <t xml:space="preserve">echo "===== 172.20.1.187 ====="; curl -s -m 5 -u admin:camel111 "http://172.20.1.187/cgi-bin/hi3510/param.cgi?cmd=getmotorattr&amp;cmd=getsmartrackattr&amp;cmd=getlightattr"; echo; sleep 5</t>
  </si>
  <si>
    <t xml:space="preserve">echo "===== 172.20.1.188 ====="; curl -s -m 5 -u admin:camel111 "http://172.20.1.188/cgi-bin/hi3510/param.cgi?cmd=getmotorattr&amp;cmd=getsmartrackattr&amp;cmd=getlightattr"; echo; sleep 5</t>
  </si>
  <si>
    <t xml:space="preserve">echo "===== 172.20.1.189 ====="; curl -s -m 5 -u admin:camel111 "http://172.20.1.189/cgi-bin/hi3510/param.cgi?cmd=getmotorattr&amp;cmd=getsmartrackattr&amp;cmd=getlightattr"; echo; sleep 5</t>
  </si>
  <si>
    <t xml:space="preserve">echo "===== 172.20.1.190 ====="; curl -s -m 5 -u admin:camel111 "http://172.20.1.190/cgi-bin/hi3510/param.cgi?cmd=getmotorattr&amp;cmd=getsmartrackattr&amp;cmd=getlightattr"; echo; sleep 5</t>
  </si>
  <si>
    <t xml:space="preserve">echo "===== 172.20.1.191 ====="; curl -s -m 5 -u admin:camel111 "http://172.20.1.191/cgi-bin/hi3510/param.cgi?cmd=getmotorattr&amp;cmd=getsmartrackattr&amp;cmd=getlightattr"; echo; sleep 5</t>
  </si>
  <si>
    <t xml:space="preserve">echo "===== 172.20.1.192 ====="; curl -s -m 5 -u admin:camel111 "http://172.20.1.192/cgi-bin/hi3510/param.cgi?cmd=getmotorattr&amp;cmd=getsmartrackattr&amp;cmd=getlightattr"; echo; sleep 5</t>
  </si>
  <si>
    <t xml:space="preserve">echo "===== 172.20.1.193 ====="; curl -s -m 5 -u admin:camel111 "http://172.20.1.193/cgi-bin/hi3510/param.cgi?cmd=getmotorattr&amp;cmd=getsmartrackattr&amp;cmd=getlightattr"; echo; sleep 5</t>
  </si>
  <si>
    <t xml:space="preserve">echo "===== 172.20.1.194 ====="; curl -s -m 5 -u admin:camel111 "http://172.20.1.194/cgi-bin/hi3510/param.cgi?cmd=getmotorattr&amp;cmd=getsmartrackattr&amp;cmd=getlightattr"; echo; sleep 5</t>
  </si>
  <si>
    <t xml:space="preserve">echo "===== 172.20.1.195 ====="; curl -s -m 5 -u admin:camel111 "http://172.20.1.195/cgi-bin/hi3510/param.cgi?cmd=getmotorattr&amp;cmd=getsmartrackattr&amp;cmd=getlightattr"; echo; sleep 5</t>
  </si>
  <si>
    <t xml:space="preserve">echo "===== 172.20.1.196 ====="; curl -s -m 5 -u admin:camel111 "http://172.20.1.196/web/cgi-bin/hi3510/param.cgi?cmd=getmotorattr&amp;cmd=getlightattr"; echo; sleep 5</t>
  </si>
  <si>
    <t xml:space="preserve">echo "===== 172.20.1.197 ====="; curl -s -m 5 -u admin:camel111 "http://172.20.1.197/cgi-bin/hi3510/param.cgi?cmd=getmotorattr&amp;cmd=getsmartrackattr&amp;cmd=getlightattr"; echo; sleep 5</t>
  </si>
  <si>
    <t xml:space="preserve">echo "===== 172.20.1.198 ====="; curl -s -m 5 -u admin:camel111 "http://172.20.1.198/cgi-bin/hi3510/param.cgi?cmd=getmotorattr&amp;cmd=getsmartrackattr&amp;cmd=getlightattr"; echo; sleep 5</t>
  </si>
  <si>
    <t xml:space="preserve">Gelb = alte Hipcam-Firmware (.186, .196): nur Pfad /web/cgi-bin/…, kein getsmartrackattr.</t>
  </si>
  <si>
    <t xml:space="preserve">2. Werte setzen – Regeln (getestet an .182 = neue und .186 = alte Firmware, 25.09.2026)</t>
  </si>
  <si>
    <t xml:space="preserve">⛔  poweronpresetindex NIEMALS SETZEN / NIE MITSCHICKEN!  ⛔</t>
  </si>
  <si>
    <t xml:space="preserve">Die Kamera meldet beim Abfragen 0 (= kein Einschalt-Preset), lehnt beim Setzen aber 0 und -1 mit '[Error]Param error.' ab. Weil ein einziger ungültiger Wert den GANZEN Aufruf verwirft, blockiert poweronpresetindex=0 auch alle anderen Werte im selben Aufruf. Einmal auf ≥1 gesetzt, kommt der Wert per CGI nicht mehr auf 0 zurück (nur Werksreset). Folge-Schaden beim Test: .182 steht jetzt auf 1 (fährt nach Neustart auf Preset 1).</t>
  </si>
  <si>
    <t xml:space="preserve">• Methode: HTTP POST mit Form-Daten, Basic-Auth. Pfad wie beim Abfragen (Standard /cgi-bin/…, alte Firmware .186/.196: /web/cgi-bin/…).</t>
  </si>
  <si>
    <t xml:space="preserve">• Aufbau: cmd=&lt;Befehl&gt;&amp;-&lt;parameter&gt;=&lt;wert&gt;&amp;…  Befehle: setmotorattr (PTZ), setsmartrackattr (Smart-Tracking), setlightattr (Status-LED).</t>
  </si>
  <si>
    <t xml:space="preserve">• Werteformate: on/off bei movehome, ptzalarmmask, light_enable · 1/0 bei smartrack_enable · Zahlen bei Geschwindigkeit, Runden, Presets. cururl=… wird nicht gebraucht.</t>
  </si>
  <si>
    <t xml:space="preserve">• Antwort (ohne cururl): Klartext ohne Zeilenumbruch, z. B. '[Succeed]set ok.', '[Succeed]light ctrl(off) succeed.' oder '[Error]Param error.' → im Skript '; echo' anhängen.</t>
  </si>
  <si>
    <t xml:space="preserve">Testergebnisse .182 (neue Firmware) und .186 (alte Firmware) – siehe auch Blatt Parameter-Lexikon, Spalte 'Setzbar':</t>
  </si>
  <si>
    <t xml:space="preserve">#</t>
  </si>
  <si>
    <t xml:space="preserve">Erkenntnis</t>
  </si>
  <si>
    <t xml:space="preserve">Folge für Massen-Setzen / Programm</t>
  </si>
  <si>
    <t xml:space="preserve">1</t>
  </si>
  <si>
    <t xml:space="preserve">Einzelne Parameter setzen funktioniert</t>
  </si>
  <si>
    <t xml:space="preserve">Nicht mitgeschickte Werte bleiben unverändert → nur die Felder senden, die geändert werden sollen.</t>
  </si>
  <si>
    <t xml:space="preserve">2</t>
  </si>
  <si>
    <t xml:space="preserve">Unbekannte Felder werden still ignoriert</t>
  </si>
  <si>
    <t xml:space="preserve">pandir, tiltdir, smartrack_mode/f2n/n2f/n2ftimeout an .182 gesendet → kein Fehler, tauchen danach nicht auf. Einheitlicher Befehl für alle Kameras möglich.</t>
  </si>
  <si>
    <t xml:space="preserve">3</t>
  </si>
  <si>
    <t xml:space="preserve">Ein ungültiger Wert verwirft den GANZEN Aufruf</t>
  </si>
  <si>
    <t xml:space="preserve">Auch die anderen cmd-Blöcke im selben Aufruf werden nicht ausgeführt → Blöcke (motor / smartrack / light) getrennt senden.</t>
  </si>
  <si>
    <t xml:space="preserve">4</t>
  </si>
  <si>
    <t xml:space="preserve">poweronpresetindex: 0 und -1 werden abgelehnt</t>
  </si>
  <si>
    <t xml:space="preserve">Nur Werte ≥ 1 erlaubt → Feld beim Setzen IMMER weglassen.</t>
  </si>
  <si>
    <t xml:space="preserve">5</t>
  </si>
  <si>
    <t xml:space="preserve">'[Succeed]' beweist nichts</t>
  </si>
  <si>
    <t xml:space="preserve">poweronscanenable=1 meldet Succeed, wird aber nicht gespeichert → nach dem Setzen immer abfragen und Soll/Ist vergleichen.</t>
  </si>
  <si>
    <t xml:space="preserve">6</t>
  </si>
  <si>
    <t xml:space="preserve">smartrack_enable wird auch ohne Tracking-Hardware gespeichert</t>
  </si>
  <si>
    <t xml:space="preserve">Bei smartrack_flag=0 wirkungslos → nur bei Kameras mit smartrack_flag=1 setzen.</t>
  </si>
  <si>
    <t xml:space="preserve">7</t>
  </si>
  <si>
    <t xml:space="preserve">tourinterval ist kein Pflichtfeld</t>
  </si>
  <si>
    <t xml:space="preserve">Fehler kam ausschließlich von poweronpresetindex=0.</t>
  </si>
  <si>
    <t xml:space="preserve">8</t>
  </si>
  <si>
    <t xml:space="preserve">ALTE Firmware (.186): unbekannte Felder werden ebenfalls ignoriert</t>
  </si>
  <si>
    <t xml:space="preserve">pandir, movesteptimeout, watchpresetindex, tourinterval … im Motor-Block → kein Fehler, bekannte Felder übernommen. Einzel-/Teil-Setzen funktioniert ('[Succeed]set ok.').</t>
  </si>
  <si>
    <t xml:space="preserve">9</t>
  </si>
  <si>
    <t xml:space="preserve">ALTE Firmware: unbekannter BEFEHL → 'Error 404: Not Found / invalid request'</t>
  </si>
  <si>
    <t xml:space="preserve">cmd=setsmartrackattr (bzw. getsmartrackattr) gibt es dort nicht. Die Kamera arbeitet die cmd-Blöcke der Reihe nach ab und BRICHT AB: Blöcke DAVOR sind gespeichert, Blöcke DANACH werden nicht ausgeführt (Test: Motor übernommen, LED nicht).</t>
  </si>
  <si>
    <t xml:space="preserve">10</t>
  </si>
  <si>
    <t xml:space="preserve">HTTP 404 ist bei alter Firmware irreführend</t>
  </si>
  <si>
    <t xml:space="preserve">404 kann dort 'Befehl unbekannt' bedeuten, nicht nur 'Pfad falsch' (ob /cgi-bin/ OHNE getsmartrackattr bei .186 funktioniert, ist noch ungetestet). Pfad-Fallback im Programm nur mit einem Aufruf testen, der garantiert gültige Befehle enthält (getmotorattr).</t>
  </si>
  <si>
    <t xml:space="preserve">11</t>
  </si>
  <si>
    <t xml:space="preserve">Neue vs. alte Firmware bei Fehler</t>
  </si>
  <si>
    <t xml:space="preserve">Neu (.182): ungültiger Wert → '[Error]Param error.', GANZER Aufruf verworfen. Alt (.186): unbekannter Befehl → 404, Teil davor gespeichert. In beiden Fällen: jeden Block einzeln senden.</t>
  </si>
  <si>
    <t xml:space="preserve">Beispiele Standard-Firmware (je Block ein Aufruf, OHNE poweronpresetindex):</t>
  </si>
  <si>
    <t xml:space="preserve">curl -s -u admin:camel111 -d "cmd=setlightattr&amp;-light_enable=off" "http://172.20.1.183/cgi-bin/hi3510/param.cgi"; echo</t>
  </si>
  <si>
    <t xml:space="preserve">curl -s -u admin:camel111 -d "cmd=setmotorattr&amp;-ptzalarmmask=on" "http://172.20.1.183/cgi-bin/hi3510/param.cgi"; echo</t>
  </si>
  <si>
    <t xml:space="preserve">curl -s -u admin:camel111 -d "cmd=setsmartrackattr&amp;-smartrack_enable=1" "http://172.20.1.183/cgi-bin/hi3510/param.cgi"; echo</t>
  </si>
  <si>
    <t xml:space="preserve">Kompletter Motor-Block (alle setzbaren Felder, OHNE poweronpresetindex und poweronscanenable):</t>
  </si>
  <si>
    <t xml:space="preserve">curl -s -u admin:camel111 -d "cmd=setmotorattr&amp;-panspeed=0&amp;-tiltspeed=0&amp;-panscan=1&amp;-tiltscan=1&amp;-movehome=off&amp;-movesteptimeout=1000&amp;-presettimeout=30&amp;-ptzalarmmask=on&amp;-alarmpresetindex=1&amp;-watchpresetindex=0&amp;-limitleft=-1&amp;-limitright=-1" "http://&lt;IP&gt;/cgi-bin/hi3510/param.cgi"; echo</t>
  </si>
  <si>
    <t xml:space="preserve">Alte Firmware .186/.196 (Pfad /web/, nur 8 Felder, OHNE setsmartrackattr – Einzel-Setzen getestet ✔):</t>
  </si>
  <si>
    <t xml:space="preserve">curl -s -u admin:camel111 -d "cmd=setlightattr&amp;-light_enable=off" "http://172.20.1.186/web/cgi-bin/hi3510/param.cgi"; echo</t>
  </si>
  <si>
    <t xml:space="preserve">curl -s -u admin:camel111 -d "cmd=setmotorattr&amp;-ptzalarmmask=on" "http://172.20.1.186/web/cgi-bin/hi3510/param.cgi"; echo</t>
  </si>
  <si>
    <t xml:space="preserve">⚠ Bei alter Firmware NIE cmd=setsmartrackattr senden – sonst Abbruch mit 404, nachfolgende Blöcke werden nicht ausgeführt.</t>
  </si>
  <si>
    <t xml:space="preserve">Kontrolle nach jedem Setzen:</t>
  </si>
  <si>
    <t xml:space="preserve">curl -s -u admin:camel111 "http://&lt;IP&gt;/cgi-bin/hi3510/param.cgi?cmd=getmotorattr&amp;cmd=getsmartrackattr&amp;cmd=getlightattr"</t>
  </si>
  <si>
    <t xml:space="preserve">3. Noch offen</t>
  </si>
  <si>
    <t xml:space="preserve">• Erledigt: Alte Firmware (.186) – Teil-Setzen ✔, unbekannte Felder ignoriert ✔, unbekannter Befehl → 404-Abbruch (Regel 9). .186 wieder im Ausgangszustand.</t>
  </si>
  <si>
    <t xml:space="preserve">• Nicht getestet: pandir/tiltdir/smartrack_mode/f2n/n2f an Kameras, die diese Felder HABEN – vorerst nicht setzen.</t>
  </si>
  <si>
    <t xml:space="preserve">• Funktioniert der /web/-Pfad auch bei neuer Firmware? (nur lesen, harmlos) – wenn ja, braucht das Programm keinen Fallback.</t>
  </si>
  <si>
    <t xml:space="preserve">curl -s -u admin:camel111 -w "\nHTTP %{http_code}\n" "http://172.20.1.183/web/cgi-bin/hi3510/param.cgi?cmd=getmotorattr&amp;cmd=getsmartrackattr&amp;cmd=getlightattr"</t>
  </si>
  <si>
    <t xml:space="preserve">4. Geplante Erweiterung onvif_control.js</t>
  </si>
  <si>
    <t xml:space="preserve">• Neue Funktion zum Abfragen im Rohformat: gibt die var-Zeilen unverändert aus.</t>
  </si>
  <si>
    <t xml:space="preserve">• Pfad-Fallback: zuerst /cgi-bin/…; bei HTTP 404 automatisch /web/cgi-bin/….</t>
  </si>
  <si>
    <t xml:space="preserve">• Sperrliste: poweronpresetindex (und poweronscanenable) werden nie gesendet, auch wenn sie übergeben werden.</t>
  </si>
  <si>
    <t xml:space="preserve">• Pro Block (motor / smartrack / light) ein eigener Aufruf; Antwort '[Succeed]' / '[Error]Param error.' / 'Error 404 … invalid request' auswerten.</t>
  </si>
  <si>
    <t xml:space="preserve">• Alte Firmware erkennen (Pfad /web/ oder getsmartrackattr → 404) und dann setsmartrackattr nie senden.</t>
  </si>
  <si>
    <t xml:space="preserve">• smartrack_* nur senden, wenn die Kamera smartrack_flag=1 meldet.</t>
  </si>
  <si>
    <t xml:space="preserve">• Nach jedem Setzen neu abfragen und Soll/Ist vergleichen – nur dann SUCCESS melden.</t>
  </si>
  <si>
    <t xml:space="preserve">Original-Bezeichnung (CGI)</t>
  </si>
  <si>
    <t xml:space="preserve">CGI-Befehl</t>
  </si>
  <si>
    <t xml:space="preserve">Deutsche Übersetzung</t>
  </si>
  <si>
    <t xml:space="preserve">Feld in der Web-Oberfläche</t>
  </si>
  <si>
    <t xml:space="preserve">Erklärung</t>
  </si>
  <si>
    <t xml:space="preserve">Beobachtete Werte (alle Kameras)</t>
  </si>
  <si>
    <t xml:space="preserve">Vorhanden bei</t>
  </si>
  <si>
    <t xml:space="preserve">Setzbar? (Tests .182 neu / .186 alt)</t>
  </si>
  <si>
    <t xml:space="preserve">Sicherheit der Deutung</t>
  </si>
  <si>
    <t xml:space="preserve">pandir</t>
  </si>
  <si>
    <t xml:space="preserve">getmotorattr</t>
  </si>
  <si>
    <t xml:space="preserve">Schwenkrichtung (Pan-Richtung)</t>
  </si>
  <si>
    <t xml:space="preserve">–</t>
  </si>
  <si>
    <t xml:space="preserve">Richtungsumkehr für Links/Rechts. Wird gebraucht, wenn die Kamera kopfüber (Decke) montiert ist und Pfeil links die Kamera nach rechts dreht. 0 = normal, 1 = umgekehrt (angenommen). Bei Boavision-Hichip-Modellen ist Ähnliches per Preset 245/246 bekannt (normal/invertiert).</t>
  </si>
  <si>
    <t xml:space="preserve">0</t>
  </si>
  <si>
    <t xml:space="preserve">6 von 28</t>
  </si>
  <si>
    <t xml:space="preserve">auf .182 ignoriert (Feld fehlt); an Kamera mit Feld nicht getestet</t>
  </si>
  <si>
    <t xml:space="preserve">abgeleitet</t>
  </si>
  <si>
    <t xml:space="preserve">tiltdir</t>
  </si>
  <si>
    <t xml:space="preserve">Neigerichtung (Tilt-Richtung)</t>
  </si>
  <si>
    <t xml:space="preserve">Richtungsumkehr für Hoch/Runter, Gegenstück zu pandir. 0 = normal, 1 = umgekehrt (angenommen).</t>
  </si>
  <si>
    <t xml:space="preserve">panspeed</t>
  </si>
  <si>
    <t xml:space="preserve">Schwenkgeschwindigkeit</t>
  </si>
  <si>
    <t xml:space="preserve">Terminal → PTZ speed</t>
  </si>
  <si>
    <t xml:space="preserve">Geschwindigkeit der horizontalen Drehung bei manueller Steuerung und beim Anfahren von Presets. An .183 zeigt die Weboberfläche 'Medium' bei Wert 1. Die Bedeutung von 0 (vermutlich 'High' oder 'Low') ist nicht verifiziert – im Web umstellen und neu auslesen.</t>
  </si>
  <si>
    <t xml:space="preserve">0, 1</t>
  </si>
  <si>
    <t xml:space="preserve">28 von 28</t>
  </si>
  <si>
    <t xml:space="preserve">✔ ja · alt (.186): ✔ ja</t>
  </si>
  <si>
    <t xml:space="preserve">teilweise bestätigt (.183)</t>
  </si>
  <si>
    <t xml:space="preserve">tiltspeed</t>
  </si>
  <si>
    <t xml:space="preserve">Neigegeschwindigkeit</t>
  </si>
  <si>
    <t xml:space="preserve">Wie panspeed, für die vertikale Bewegung. Die Weboberfläche setzt beide immer gemeinsam.</t>
  </si>
  <si>
    <t xml:space="preserve">panscan</t>
  </si>
  <si>
    <t xml:space="preserve">Cruise-Runden horizontal</t>
  </si>
  <si>
    <t xml:space="preserve">Terminal → Cruise laps (1–50)</t>
  </si>
  <si>
    <t xml:space="preserve">Wie oft die Kamera ihre interne Cruise-/Scan-Route durchläuft, bevor sie stehen bleibt. Betrifft nur den kamerainternen Cruise, nicht Preset-Fahrten aus Home Assistant.</t>
  </si>
  <si>
    <t xml:space="preserve">bestätigt (.183)</t>
  </si>
  <si>
    <t xml:space="preserve">tiltscan</t>
  </si>
  <si>
    <t xml:space="preserve">Cruise-Runden vertikal</t>
  </si>
  <si>
    <t xml:space="preserve">Gegenstück zu panscan für die vertikale Achse. Wird von der Weboberfläche mit demselben Wert gesetzt.</t>
  </si>
  <si>
    <t xml:space="preserve">movehome</t>
  </si>
  <si>
    <t xml:space="preserve">Nach Selbsttest in Mittelposition fahren</t>
  </si>
  <si>
    <t xml:space="preserve">Terminal → Centered While Self Check</t>
  </si>
  <si>
    <t xml:space="preserve">Nach jedem Neustart fährt die Kamera zur Kalibrierung ihre Endanschläge ab. on = danach in die Mitte fahren, off = nicht.</t>
  </si>
  <si>
    <t xml:space="preserve">off</t>
  </si>
  <si>
    <t xml:space="preserve">movesteptimeout</t>
  </si>
  <si>
    <t xml:space="preserve">Schrittdauer bei manueller Bewegung</t>
  </si>
  <si>
    <t xml:space="preserve">Dauer in Millisekunden, wie lange sich der Motor bei einem einzelnen Klick auf einen Pfeil bewegt (1000 = 1 Sekunde).</t>
  </si>
  <si>
    <t xml:space="preserve">1000</t>
  </si>
  <si>
    <t xml:space="preserve">26 von 28</t>
  </si>
  <si>
    <t xml:space="preserve">✔ ja</t>
  </si>
  <si>
    <t xml:space="preserve">presettimeout</t>
  </si>
  <si>
    <t xml:space="preserve">Preset-Zeitlimit</t>
  </si>
  <si>
    <t xml:space="preserve">Zeit in Sekunden im Zusammenhang mit Presets. Wahrscheinlich die Verweildauer am Alarm-Preset, bevor die Kamera zurückkehrt. Nicht verifiziert.</t>
  </si>
  <si>
    <t xml:space="preserve">30</t>
  </si>
  <si>
    <t xml:space="preserve">ptzalarmmask</t>
  </si>
  <si>
    <t xml:space="preserve">Alarm-Maske während PTZ-Bewegung</t>
  </si>
  <si>
    <t xml:space="preserve">Terminal → Close the alarm PTZ movement</t>
  </si>
  <si>
    <t xml:space="preserve">on = solange sich die Kamera dreht/zoomt, werden Bewegungsalarme unterdrückt (verhindert Fehlalarme durch die eigene Bewegung). off = Alarme auch während der Bewegung.</t>
  </si>
  <si>
    <t xml:space="preserve">off, on</t>
  </si>
  <si>
    <t xml:space="preserve">alarmpresetindex</t>
  </si>
  <si>
    <t xml:space="preserve">Alarm-Preset (Nummer)</t>
  </si>
  <si>
    <t xml:space="preserve">Alarm → Alarm (Verknüpfung 'Zu Preset fahren')</t>
  </si>
  <si>
    <t xml:space="preserve">Preset, das die Kamera bei einem Alarm anfährt, sofern die Alarm-Verknüpfung 'PTZ zu Preset' aktiv ist.</t>
  </si>
  <si>
    <t xml:space="preserve">poweronpresetindex</t>
  </si>
  <si>
    <t xml:space="preserve">Einschalt-Preset (Nummer)</t>
  </si>
  <si>
    <t xml:space="preserve">Preset, das nach dem Einschalten bzw. Neustart angefahren wird. 0 = keines. ⛔ NICHT SETZEN: beim Setzen werden 0 und -1 abgelehnt ([Error]Param error.) – der ganze Aufruf wird verworfen. Einmal auf ≥1 gesetzt, lässt sich 0 per CGI nicht mehr herstellen (.182 steht seit dem Test auf 1).</t>
  </si>
  <si>
    <t xml:space="preserve">⛔ NICHT SETZEN – 0 und -1 → [Error]Param error., verwirft ganzen Aufruf; nur ≥1 möglich, 0 nicht wiederherstellbar</t>
  </si>
  <si>
    <t xml:space="preserve">getestet (.182)</t>
  </si>
  <si>
    <t xml:space="preserve">watchpresetindex</t>
  </si>
  <si>
    <t xml:space="preserve">Wächter-Preset / Rückkehrposition</t>
  </si>
  <si>
    <t xml:space="preserve">'Watch'/'Guard'-Position: Preset, zu dem die Kamera nach einer Leerlaufzeit automatisch zurückkehrt. 0 = Funktion aus. Möglicher Weg, eine frei änderbare Rückkehrposition fürs Tracking zu setzen.</t>
  </si>
  <si>
    <t xml:space="preserve">✔ ja (Wert 0 getestet)</t>
  </si>
  <si>
    <t xml:space="preserve">poweronscanenable</t>
  </si>
  <si>
    <t xml:space="preserve">Cruise/Scan beim Einschalten starten</t>
  </si>
  <si>
    <t xml:space="preserve">1 = nach dem Einschalten automatisch Cruise bzw. Scan starten, 0 = nein.</t>
  </si>
  <si>
    <t xml:space="preserve">⚠ nein – 1 meldet Succeed, wird nicht gespeichert; weglassen</t>
  </si>
  <si>
    <t xml:space="preserve">limitleft</t>
  </si>
  <si>
    <t xml:space="preserve">Linke Scan-Grenze</t>
  </si>
  <si>
    <t xml:space="preserve">Linker Endpunkt für den horizontalen Scan. -1 = nicht gesetzt, dann wird der volle Bereich gescannt.</t>
  </si>
  <si>
    <t xml:space="preserve">-1</t>
  </si>
  <si>
    <t xml:space="preserve">✔ ja (Wert -1 getestet)</t>
  </si>
  <si>
    <t xml:space="preserve">limitright</t>
  </si>
  <si>
    <t xml:space="preserve">Rechte Scan-Grenze</t>
  </si>
  <si>
    <t xml:space="preserve">Rechter Endpunkt für den horizontalen Scan. -1 = nicht gesetzt.</t>
  </si>
  <si>
    <t xml:space="preserve">tourinterval</t>
  </si>
  <si>
    <t xml:space="preserve">Cruise-Verweilzeiten (Auswahlliste)</t>
  </si>
  <si>
    <t xml:space="preserve">Liste der auswählbaren Verweilzeiten pro Cruise-Punkt in Sekunden. Keine aktive Einstellung, sondern die Auswahl, die die App/Weboberfläche anbietet.</t>
  </si>
  <si>
    <t xml:space="preserve">5;10;15;20;30;60;90;120</t>
  </si>
  <si>
    <t xml:space="preserve">nicht nötig (Auswahlliste, kein Pflichtfeld); weglassen</t>
  </si>
  <si>
    <t xml:space="preserve">smartrack_flag</t>
  </si>
  <si>
    <t xml:space="preserve">getsmartrackattr</t>
  </si>
  <si>
    <t xml:space="preserve">Smart-Tracking-Fähigkeit</t>
  </si>
  <si>
    <t xml:space="preserve">– (steuert, ob 'SmartTrack' angezeigt wird)</t>
  </si>
  <si>
    <t xml:space="preserve">Fähigkeits-Kennzeichen der Hardware/Firmware: 1 = Kamera kann Smart-Tracking (Personenverfolgung), 0 = nicht. Vermutlich nur lesbar.</t>
  </si>
  <si>
    <t xml:space="preserve">weglassen (Fähigkeits-Flag)</t>
  </si>
  <si>
    <t xml:space="preserve">smartrack_enable</t>
  </si>
  <si>
    <t xml:space="preserve">Smart-Tracking ein/aus</t>
  </si>
  <si>
    <t xml:space="preserve">Terminal → SmartTrack</t>
  </si>
  <si>
    <t xml:space="preserve">Hauptschalter der automatischen Personenverfolgung. 1 = ein, 0 = aus. Setzbar per cmd=setsmartrackattr&amp;-smartrack_enable=1|0.</t>
  </si>
  <si>
    <t xml:space="preserve">✔ ja (auch bei flag=0 gespeichert, dort wirkungslos) · alt (.186): Befehl unbekannt → 404, NIE senden</t>
  </si>
  <si>
    <t xml:space="preserve">smartrack_timeout</t>
  </si>
  <si>
    <t xml:space="preserve">Tracking-Zeitlimit</t>
  </si>
  <si>
    <t xml:space="preserve">Sekunden nach Verlust des Ziels (bzw. nach Tracking-Ende), bis die Kamera an ihre Ausgangsposition zurückkehrt. Auffällig: 5 s bei Kameras ohne Tracking-Unterstützung, sonst 60 s.</t>
  </si>
  <si>
    <t xml:space="preserve">5, 60</t>
  </si>
  <si>
    <t xml:space="preserve">✔ ja · alt (.186): Befehl unbekannt → 404, NIE senden</t>
  </si>
  <si>
    <t xml:space="preserve">light_enable</t>
  </si>
  <si>
    <t xml:space="preserve">getlightattr</t>
  </si>
  <si>
    <t xml:space="preserve">Status-LED ein/aus</t>
  </si>
  <si>
    <t xml:space="preserve">Terminal → Indicator Display Mode</t>
  </si>
  <si>
    <t xml:space="preserve">on = Status-LED am Gehäuse leuchtet ('Been lighted'), off = LED aus ('Been extinguished'). Betrifft nicht Infrarot- oder Weißlicht-LEDs.</t>
  </si>
  <si>
    <t xml:space="preserve">smartrack_mode</t>
  </si>
  <si>
    <t xml:space="preserve">Tracking-Modus</t>
  </si>
  <si>
    <t xml:space="preserve">Art des Trackings. Hichip-Hersteller unterscheiden 'Fixed-Point-Tracking' (Rückkehr zu einer festen Position) und 'Cruise-Tracking' (weiter zum nächsten Cruise-Punkt). 0 ist vermutlich Fixed-Point.</t>
  </si>
  <si>
    <t xml:space="preserve">7 von 28</t>
  </si>
  <si>
    <t xml:space="preserve">auf .182 ignoriert; an Kamera mit Feld nicht getestet</t>
  </si>
  <si>
    <t xml:space="preserve">smartrack_f2n</t>
  </si>
  <si>
    <t xml:space="preserve">Auto-Zoom 'fern → nah' (Hineinzoomen)</t>
  </si>
  <si>
    <t xml:space="preserve">'far to near': Schwellwert, ab dem beim Tracking hineingezoomt wird, vermutlich wenn die Person kleiner als ca. 20 % der Bildhöhe ist. Nur bei Kameras mit optischem Zoom und Auto-Zoom-Firmware.</t>
  </si>
  <si>
    <t xml:space="preserve">20</t>
  </si>
  <si>
    <t xml:space="preserve">smartrack_n2f</t>
  </si>
  <si>
    <t xml:space="preserve">Auto-Zoom 'nah → fern' (Herauszoomen)</t>
  </si>
  <si>
    <t xml:space="preserve">'near to far': Schwellwert, ab dem wieder herausgezoomt wird, vermutlich wenn die Person größer als ca. 40 % der Bildhöhe ist.</t>
  </si>
  <si>
    <t xml:space="preserve">40</t>
  </si>
  <si>
    <t xml:space="preserve">smartrack_n2ftimeout</t>
  </si>
  <si>
    <t xml:space="preserve">Zeitlimit für Herauszoomen</t>
  </si>
  <si>
    <t xml:space="preserve">Sekunden, nach denen die Kamera beim Tracking wieder in die Weitwinkelstellung zurückzoomt.</t>
  </si>
  <si>
    <t xml:space="preserve">• "bestätigt (.183)": an Kamera 172.20.1.183 durch Vergleich Weboberfläche ↔ CGI-Ausgabe belegt.</t>
  </si>
  <si>
    <t xml:space="preserve">• "abgeleitet": aus Parametername, Wertebereich und Hichip-Herstellerdokumentation erschlossen – noch nicht praktisch getestet. Prüfen: Wert im Web ändern, mit get… neu auslesen.</t>
  </si>
  <si>
    <t xml:space="preserve">• Öffentliche Dokumentation zu dieser Hichip-CGI gibt es praktisch nicht; die Deutungen stützen sich auf Parameternamen, das Verhalten der Weboberfläche und Hersteller-Anleitungen (ESUNSTAR/Hichip, Tenda, Eminent, YoLuke).</t>
  </si>
  <si>
    <t xml:space="preserve">• Quelle der Werte: curl-Abfrage param.cgi (getmotorattr, getsmartrackattr, getlightattr) aller Kameras, 25.09.2026. .186 und .196 (alte Firmware) nur über Pfad /web/cgi-bin/hi3510/param.cgi abrufbar – liefern nur 8 Parameter.</t>
  </si>
  <si>
    <t xml:space="preserve">pandir
(Schwenk-Richtung)</t>
  </si>
  <si>
    <t xml:space="preserve">tiltdir
(Neige-Richtung)</t>
  </si>
  <si>
    <t xml:space="preserve">panspeed
(Schwenk-Tempo)</t>
  </si>
  <si>
    <t xml:space="preserve">tiltspeed
(Neige-Tempo)</t>
  </si>
  <si>
    <t xml:space="preserve">panscan
(Cruise-Runden)</t>
  </si>
  <si>
    <t xml:space="preserve">tiltscan
(Cruise-Runden)</t>
  </si>
  <si>
    <t xml:space="preserve">movehome
(Mitte n. Selbsttest)</t>
  </si>
  <si>
    <t xml:space="preserve">movestep
timeout
(Schrittdauer ms)</t>
  </si>
  <si>
    <t xml:space="preserve">preset
timeout
(Preset-Timeout s)</t>
  </si>
  <si>
    <t xml:space="preserve">ptzalarm
mask
(Alarm bei PTZ aus)</t>
  </si>
  <si>
    <t xml:space="preserve">alarm
presetindex
(Alarm-Preset)</t>
  </si>
  <si>
    <t xml:space="preserve">poweron
presetindex
(Einschalt-Preset)</t>
  </si>
  <si>
    <t xml:space="preserve">watch
presetindex
(Wächter-Preset)</t>
  </si>
  <si>
    <t xml:space="preserve">poweron
scanenable
(Scan beim Start)</t>
  </si>
  <si>
    <t xml:space="preserve">limitleft
(Scan-Grenze links)</t>
  </si>
  <si>
    <t xml:space="preserve">limitright
(Scan-Grenze rechts)</t>
  </si>
  <si>
    <t xml:space="preserve">tour
interval
(Verweilzeiten (Auswahl))</t>
  </si>
  <si>
    <t xml:space="preserve">smartrack_
flag
(Tracking möglich)</t>
  </si>
  <si>
    <t xml:space="preserve">smartrack_
enable
(Tracking ein/aus)</t>
  </si>
  <si>
    <t xml:space="preserve">smartrack_
timeout
(Tracking-Timeout s)</t>
  </si>
  <si>
    <t xml:space="preserve">light_
enable
(Status-LED)</t>
  </si>
  <si>
    <t xml:space="preserve">smartrack_
mode
(Tracking-Modus)</t>
  </si>
  <si>
    <t xml:space="preserve">smartrack_
f2n
(Zoom hinein)</t>
  </si>
  <si>
    <t xml:space="preserve">smartrack_
n2f
(Zoom heraus)</t>
  </si>
  <si>
    <t xml:space="preserve">smartrack_
n2ftimeout
(Zoom-Timeout s)</t>
  </si>
  <si>
    <t xml:space="preserve">on</t>
  </si>
  <si>
    <t xml:space="preserve">Parameter</t>
  </si>
  <si>
    <t xml:space="preserve">Bedeutung</t>
  </si>
  <si>
    <t xml:space="preserve">Sicherheit</t>
  </si>
  <si>
    <t xml:space="preserve">panspeed / tiltspeed</t>
  </si>
  <si>
    <t xml:space="preserve">Schwenk-/Neigegeschwindigkeit. Wert 1 = 'Medium' (an .183 bestätigt); Wert 0 nicht verifiziert.</t>
  </si>
  <si>
    <t xml:space="preserve">teilweise bestätigt</t>
  </si>
  <si>
    <t xml:space="preserve">panscan / tiltscan</t>
  </si>
  <si>
    <t xml:space="preserve">Terminal → Cruise laps (1-50)</t>
  </si>
  <si>
    <t xml:space="preserve">Anzahl Cruise-Runden</t>
  </si>
  <si>
    <t xml:space="preserve">Nach Selbsttest/Neustart in die Mitte fahren</t>
  </si>
  <si>
    <t xml:space="preserve">on = keine Bewegungsalarme, solange sich die Kamera bewegt</t>
  </si>
  <si>
    <t xml:space="preserve">on = Status-LED leuchtet ('Been lighted'), off = aus ('Been extinguished')</t>
  </si>
  <si>
    <t xml:space="preserve">Smart-Tracking ein (1) / aus (0)</t>
  </si>
  <si>
    <t xml:space="preserve">Fähigkeits-Flag: Kamera unterstützt Smart-Tracking (1) oder nicht (0)</t>
  </si>
  <si>
    <t xml:space="preserve">Sekunden nach Zielverlust bis zur Rückkehr</t>
  </si>
  <si>
    <t xml:space="preserve">Tracking-Modus, vermutlich 0 = Fixed-Point (Rückkehr zur Ausgangsposition)</t>
  </si>
  <si>
    <t xml:space="preserve">smartrack_f2n / n2f / n2ftimeout</t>
  </si>
  <si>
    <t xml:space="preserve">Auto-Zoom beim Tracking: hinein (far→near), heraus (near→far), Timeout in s</t>
  </si>
  <si>
    <t xml:space="preserve">pandir / tiltdir</t>
  </si>
  <si>
    <t xml:space="preserve">Richtungs-Invertierung Schwenken/Neigen (nur bei einem Teil der Firmwares)</t>
  </si>
  <si>
    <t xml:space="preserve">Dauer eines manuellen Pfeil-Schritts in ms</t>
  </si>
  <si>
    <t xml:space="preserve">Zeit in s im Zusammenhang mit Presets (vermutlich Rückkehr nach Alarm-Preset)</t>
  </si>
  <si>
    <t xml:space="preserve">Preset, das bei Alarm angefahren wird</t>
  </si>
  <si>
    <t xml:space="preserve">Wächter-/Rückkehr-Preset nach Leerlauf (0 = aus)</t>
  </si>
  <si>
    <t xml:space="preserve">Preset nach dem Einschalten (0 = keins). ⛔ NICHT SETZEN: 0 und -1 werden abgelehnt und verwerfen den ganzen Aufruf; einmal ≥1 gesetzt, nicht mehr auf 0 rücksetzbar.</t>
  </si>
  <si>
    <t xml:space="preserve">Cruise/Scan nach dem Einschalten starten (0 = nein)</t>
  </si>
  <si>
    <t xml:space="preserve">limitleft / limitright</t>
  </si>
  <si>
    <t xml:space="preserve">Scan-Grenzen links/rechts (-1 = nicht gesetzt)</t>
  </si>
  <si>
    <t xml:space="preserve">Auswahlliste möglicher Verweilzeiten pro Cruise-Punkt in s (kein eingestellter Wert)</t>
  </si>
  <si>
    <t xml:space="preserve">"-"</t>
  </si>
  <si>
    <t xml:space="preserve">Wert von der Kamera nicht geliefert: Parameter fehlt in dieser Firmware, (z. B. alte Firmware .186/.196 ohne Smart-Tracking)</t>
  </si>
  <si>
    <t xml:space="preserve">Abrufpfad alte Firmware</t>
  </si>
  <si>
    <t xml:space="preserve">Bei .186 und .196 funktioniert nur /web/cgi-bin/hi3510/param.cgi (Standard /cgi-bin/... = HTTP 404). Nur 8 Parameter: pan/tiltspeed, pan/tiltscan, movehome, ptzalarmmask, alarmpresetindex, light_enable. Setzen per POST (Form-Daten) an denselben Pfad. Unbekannte Felder werden ignoriert; ein unbekannter BEFEHL (z. B. setsmartrackattr) liefert 'Error 404 invalid request' und bricht ab – vorherige Blöcke gespeichert, nachfolgende nicht.</t>
  </si>
  <si>
    <t xml:space="preserve">bestätigt (pcap + Test .186)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</si>
</sst>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9"/>
      <name val="Courier New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57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C6EFCE"/>
      </patternFill>
    </fill>
    <fill>
      <patternFill patternType="solid">
        <fgColor rgb="FFFFEB9C"/>
        <bgColor rgb="FFF2F2F2"/>
      </patternFill>
    </fill>
    <fill>
      <patternFill patternType="solid">
        <fgColor rgb="FFC00000"/>
        <bgColor rgb="FF9C0006"/>
      </patternFill>
    </fill>
    <fill>
      <patternFill patternType="solid">
        <fgColor rgb="FFFFC7C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3" min="3" style="0" width="15"/>
    <col collapsed="false" customWidth="true" hidden="false" outlineLevel="0" max="9" min="4" style="0" width="14"/>
    <col collapsed="false" customWidth="true" hidden="false" outlineLevel="0" max="10" min="10" style="0" width="16"/>
    <col collapsed="false" customWidth="true" hidden="false" outlineLevel="0" max="18" min="11" style="0" width="14"/>
  </cols>
  <sheetData>
    <row r="1" customFormat="false" ht="7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3" t="s">
        <v>19</v>
      </c>
      <c r="C2" s="3" t="s">
        <v>20</v>
      </c>
      <c r="D2" s="3" t="s">
        <v>21</v>
      </c>
      <c r="E2" s="3" t="n">
        <v>5</v>
      </c>
      <c r="F2" s="4" t="s">
        <v>22</v>
      </c>
      <c r="G2" s="4" t="s">
        <v>22</v>
      </c>
      <c r="H2" s="4" t="s">
        <v>22</v>
      </c>
      <c r="I2" s="4" t="s">
        <v>22</v>
      </c>
      <c r="J2" s="3" t="s">
        <v>23</v>
      </c>
      <c r="K2" s="3" t="s">
        <v>23</v>
      </c>
      <c r="L2" s="3" t="n">
        <v>0</v>
      </c>
      <c r="M2" s="3" t="n">
        <v>1</v>
      </c>
      <c r="N2" s="3" t="s">
        <v>21</v>
      </c>
      <c r="O2" s="3" t="n">
        <v>1</v>
      </c>
      <c r="P2" s="3" t="n">
        <v>0</v>
      </c>
      <c r="Q2" s="3" t="n">
        <v>0</v>
      </c>
      <c r="R2" s="3" t="n">
        <v>0</v>
      </c>
    </row>
    <row r="3" customFormat="false" ht="15" hidden="false" customHeight="false" outlineLevel="0" collapsed="false">
      <c r="A3" s="2" t="s">
        <v>24</v>
      </c>
      <c r="B3" s="3" t="s">
        <v>19</v>
      </c>
      <c r="C3" s="3" t="s">
        <v>25</v>
      </c>
      <c r="D3" s="3" t="s">
        <v>23</v>
      </c>
      <c r="E3" s="3" t="n">
        <v>60</v>
      </c>
      <c r="F3" s="3" t="n">
        <v>0</v>
      </c>
      <c r="G3" s="3" t="n">
        <v>20</v>
      </c>
      <c r="H3" s="3" t="n">
        <v>40</v>
      </c>
      <c r="I3" s="3" t="n">
        <v>30</v>
      </c>
      <c r="J3" s="3" t="s">
        <v>21</v>
      </c>
      <c r="K3" s="3" t="s">
        <v>23</v>
      </c>
      <c r="L3" s="3" t="n">
        <v>0</v>
      </c>
      <c r="M3" s="3" t="n">
        <v>1</v>
      </c>
      <c r="N3" s="3" t="s">
        <v>21</v>
      </c>
      <c r="O3" s="3" t="n">
        <v>1</v>
      </c>
      <c r="P3" s="3" t="n">
        <v>0</v>
      </c>
      <c r="Q3" s="3" t="n">
        <v>0</v>
      </c>
      <c r="R3" s="4" t="s">
        <v>22</v>
      </c>
    </row>
    <row r="4" customFormat="false" ht="15" hidden="false" customHeight="false" outlineLevel="0" collapsed="false">
      <c r="A4" s="2" t="s">
        <v>26</v>
      </c>
      <c r="B4" s="3" t="s">
        <v>19</v>
      </c>
      <c r="C4" s="3" t="s">
        <v>25</v>
      </c>
      <c r="D4" s="3" t="s">
        <v>23</v>
      </c>
      <c r="E4" s="3" t="n">
        <v>60</v>
      </c>
      <c r="F4" s="3" t="n">
        <v>0</v>
      </c>
      <c r="G4" s="3" t="n">
        <v>20</v>
      </c>
      <c r="H4" s="3" t="n">
        <v>40</v>
      </c>
      <c r="I4" s="3" t="n">
        <v>30</v>
      </c>
      <c r="J4" s="3" t="s">
        <v>21</v>
      </c>
      <c r="K4" s="3" t="s">
        <v>23</v>
      </c>
      <c r="L4" s="3" t="n">
        <v>0</v>
      </c>
      <c r="M4" s="3" t="n">
        <v>1</v>
      </c>
      <c r="N4" s="3" t="s">
        <v>21</v>
      </c>
      <c r="O4" s="3" t="n">
        <v>1</v>
      </c>
      <c r="P4" s="3" t="n">
        <v>0</v>
      </c>
      <c r="Q4" s="3" t="n">
        <v>0</v>
      </c>
      <c r="R4" s="4" t="s">
        <v>22</v>
      </c>
    </row>
    <row r="5" customFormat="false" ht="15" hidden="false" customHeight="false" outlineLevel="0" collapsed="false">
      <c r="A5" s="2" t="s">
        <v>27</v>
      </c>
      <c r="B5" s="3" t="s">
        <v>19</v>
      </c>
      <c r="C5" s="3" t="s">
        <v>20</v>
      </c>
      <c r="D5" s="3" t="s">
        <v>21</v>
      </c>
      <c r="E5" s="3" t="n">
        <v>5</v>
      </c>
      <c r="F5" s="4" t="s">
        <v>22</v>
      </c>
      <c r="G5" s="4" t="s">
        <v>22</v>
      </c>
      <c r="H5" s="4" t="s">
        <v>22</v>
      </c>
      <c r="I5" s="4" t="s">
        <v>22</v>
      </c>
      <c r="J5" s="3" t="s">
        <v>23</v>
      </c>
      <c r="K5" s="3" t="s">
        <v>23</v>
      </c>
      <c r="L5" s="3" t="n">
        <v>0</v>
      </c>
      <c r="M5" s="3" t="n">
        <v>1</v>
      </c>
      <c r="N5" s="3" t="s">
        <v>21</v>
      </c>
      <c r="O5" s="3" t="n">
        <v>1</v>
      </c>
      <c r="P5" s="3" t="n">
        <v>0</v>
      </c>
      <c r="Q5" s="3" t="n">
        <v>0</v>
      </c>
      <c r="R5" s="3" t="n">
        <v>0</v>
      </c>
    </row>
    <row r="6" customFormat="false" ht="15" hidden="false" customHeight="false" outlineLevel="0" collapsed="false">
      <c r="A6" s="2" t="s">
        <v>28</v>
      </c>
      <c r="B6" s="3" t="s">
        <v>19</v>
      </c>
      <c r="C6" s="3" t="s">
        <v>25</v>
      </c>
      <c r="D6" s="3" t="s">
        <v>23</v>
      </c>
      <c r="E6" s="3" t="n">
        <v>60</v>
      </c>
      <c r="F6" s="3" t="n">
        <v>0</v>
      </c>
      <c r="G6" s="3" t="n">
        <v>20</v>
      </c>
      <c r="H6" s="3" t="n">
        <v>40</v>
      </c>
      <c r="I6" s="3" t="n">
        <v>30</v>
      </c>
      <c r="J6" s="3" t="s">
        <v>21</v>
      </c>
      <c r="K6" s="3" t="s">
        <v>23</v>
      </c>
      <c r="L6" s="3" t="n">
        <v>0</v>
      </c>
      <c r="M6" s="3" t="n">
        <v>1</v>
      </c>
      <c r="N6" s="3" t="s">
        <v>21</v>
      </c>
      <c r="O6" s="3" t="n">
        <v>1</v>
      </c>
      <c r="P6" s="3" t="n">
        <v>0</v>
      </c>
      <c r="Q6" s="3" t="n">
        <v>0</v>
      </c>
      <c r="R6" s="4" t="s">
        <v>22</v>
      </c>
    </row>
    <row r="7" customFormat="false" ht="15" hidden="false" customHeight="false" outlineLevel="0" collapsed="false">
      <c r="A7" s="2" t="s">
        <v>29</v>
      </c>
      <c r="B7" s="3" t="s">
        <v>19</v>
      </c>
      <c r="C7" s="3" t="s">
        <v>20</v>
      </c>
      <c r="D7" s="3" t="s">
        <v>21</v>
      </c>
      <c r="E7" s="3" t="n">
        <v>60</v>
      </c>
      <c r="F7" s="4" t="s">
        <v>22</v>
      </c>
      <c r="G7" s="4" t="s">
        <v>22</v>
      </c>
      <c r="H7" s="4" t="s">
        <v>22</v>
      </c>
      <c r="I7" s="4" t="s">
        <v>22</v>
      </c>
      <c r="J7" s="3" t="s">
        <v>23</v>
      </c>
      <c r="K7" s="3" t="s">
        <v>23</v>
      </c>
      <c r="L7" s="3" t="n">
        <v>0</v>
      </c>
      <c r="M7" s="3" t="n">
        <v>1</v>
      </c>
      <c r="N7" s="3" t="s">
        <v>21</v>
      </c>
      <c r="O7" s="3" t="n">
        <v>1</v>
      </c>
      <c r="P7" s="3" t="n">
        <v>0</v>
      </c>
      <c r="Q7" s="3" t="n">
        <v>0</v>
      </c>
      <c r="R7" s="4" t="s">
        <v>22</v>
      </c>
    </row>
    <row r="8" customFormat="false" ht="15" hidden="false" customHeight="false" outlineLevel="0" collapsed="false">
      <c r="A8" s="2" t="s">
        <v>30</v>
      </c>
      <c r="B8" s="3" t="s">
        <v>19</v>
      </c>
      <c r="C8" s="3" t="s">
        <v>20</v>
      </c>
      <c r="D8" s="3" t="s">
        <v>21</v>
      </c>
      <c r="E8" s="3" t="n">
        <v>60</v>
      </c>
      <c r="F8" s="4" t="s">
        <v>22</v>
      </c>
      <c r="G8" s="4" t="s">
        <v>22</v>
      </c>
      <c r="H8" s="4" t="s">
        <v>22</v>
      </c>
      <c r="I8" s="4" t="s">
        <v>22</v>
      </c>
      <c r="J8" s="3" t="s">
        <v>23</v>
      </c>
      <c r="K8" s="3" t="s">
        <v>23</v>
      </c>
      <c r="L8" s="3" t="n">
        <v>0</v>
      </c>
      <c r="M8" s="3" t="n">
        <v>1</v>
      </c>
      <c r="N8" s="3" t="s">
        <v>21</v>
      </c>
      <c r="O8" s="3" t="n">
        <v>1</v>
      </c>
      <c r="P8" s="3" t="n">
        <v>0</v>
      </c>
      <c r="Q8" s="3" t="n">
        <v>0</v>
      </c>
      <c r="R8" s="4" t="s">
        <v>22</v>
      </c>
    </row>
    <row r="9" customFormat="false" ht="15" hidden="false" customHeight="false" outlineLevel="0" collapsed="false">
      <c r="A9" s="2" t="s">
        <v>31</v>
      </c>
      <c r="B9" s="3" t="s">
        <v>19</v>
      </c>
      <c r="C9" s="3" t="s">
        <v>20</v>
      </c>
      <c r="D9" s="3" t="s">
        <v>21</v>
      </c>
      <c r="E9" s="3" t="n">
        <v>60</v>
      </c>
      <c r="F9" s="4" t="s">
        <v>22</v>
      </c>
      <c r="G9" s="4" t="s">
        <v>22</v>
      </c>
      <c r="H9" s="4" t="s">
        <v>22</v>
      </c>
      <c r="I9" s="4" t="s">
        <v>22</v>
      </c>
      <c r="J9" s="3" t="s">
        <v>23</v>
      </c>
      <c r="K9" s="3" t="s">
        <v>23</v>
      </c>
      <c r="L9" s="3" t="n">
        <v>0</v>
      </c>
      <c r="M9" s="3" t="n">
        <v>1</v>
      </c>
      <c r="N9" s="3" t="s">
        <v>21</v>
      </c>
      <c r="O9" s="3" t="n">
        <v>1</v>
      </c>
      <c r="P9" s="3" t="n">
        <v>0</v>
      </c>
      <c r="Q9" s="3" t="n">
        <v>0</v>
      </c>
      <c r="R9" s="3" t="n">
        <v>0</v>
      </c>
    </row>
    <row r="10" customFormat="false" ht="15" hidden="false" customHeight="false" outlineLevel="0" collapsed="false">
      <c r="A10" s="2" t="s">
        <v>32</v>
      </c>
      <c r="B10" s="3" t="s">
        <v>19</v>
      </c>
      <c r="C10" s="3" t="s">
        <v>20</v>
      </c>
      <c r="D10" s="3" t="s">
        <v>21</v>
      </c>
      <c r="E10" s="3" t="n">
        <v>60</v>
      </c>
      <c r="F10" s="4" t="s">
        <v>22</v>
      </c>
      <c r="G10" s="4" t="s">
        <v>22</v>
      </c>
      <c r="H10" s="4" t="s">
        <v>22</v>
      </c>
      <c r="I10" s="4" t="s">
        <v>22</v>
      </c>
      <c r="J10" s="3" t="s">
        <v>23</v>
      </c>
      <c r="K10" s="3" t="s">
        <v>23</v>
      </c>
      <c r="L10" s="3" t="n">
        <v>0</v>
      </c>
      <c r="M10" s="3" t="n">
        <v>1</v>
      </c>
      <c r="N10" s="3" t="s">
        <v>21</v>
      </c>
      <c r="O10" s="3" t="n">
        <v>1</v>
      </c>
      <c r="P10" s="3" t="n">
        <v>0</v>
      </c>
      <c r="Q10" s="3" t="n">
        <v>0</v>
      </c>
      <c r="R10" s="4" t="s">
        <v>22</v>
      </c>
    </row>
    <row r="11" customFormat="false" ht="15" hidden="false" customHeight="false" outlineLevel="0" collapsed="false">
      <c r="A11" s="2" t="s">
        <v>33</v>
      </c>
      <c r="B11" s="3" t="s">
        <v>19</v>
      </c>
      <c r="C11" s="3" t="s">
        <v>20</v>
      </c>
      <c r="D11" s="3" t="s">
        <v>21</v>
      </c>
      <c r="E11" s="3" t="n">
        <v>60</v>
      </c>
      <c r="F11" s="4" t="s">
        <v>22</v>
      </c>
      <c r="G11" s="4" t="s">
        <v>22</v>
      </c>
      <c r="H11" s="4" t="s">
        <v>22</v>
      </c>
      <c r="I11" s="4" t="s">
        <v>22</v>
      </c>
      <c r="J11" s="3" t="s">
        <v>21</v>
      </c>
      <c r="K11" s="3" t="s">
        <v>21</v>
      </c>
      <c r="L11" s="3" t="n">
        <v>0</v>
      </c>
      <c r="M11" s="3" t="n">
        <v>1</v>
      </c>
      <c r="N11" s="3" t="s">
        <v>21</v>
      </c>
      <c r="O11" s="3" t="n">
        <v>1</v>
      </c>
      <c r="P11" s="3" t="n">
        <v>0</v>
      </c>
      <c r="Q11" s="3" t="n">
        <v>0</v>
      </c>
      <c r="R11" s="4" t="s">
        <v>22</v>
      </c>
    </row>
    <row r="12" customFormat="false" ht="15" hidden="false" customHeight="false" outlineLevel="0" collapsed="false">
      <c r="A12" s="2" t="s">
        <v>34</v>
      </c>
      <c r="B12" s="3" t="s">
        <v>19</v>
      </c>
      <c r="C12" s="3" t="s">
        <v>20</v>
      </c>
      <c r="D12" s="3" t="s">
        <v>21</v>
      </c>
      <c r="E12" s="3" t="n">
        <v>60</v>
      </c>
      <c r="F12" s="4" t="s">
        <v>22</v>
      </c>
      <c r="G12" s="4" t="s">
        <v>22</v>
      </c>
      <c r="H12" s="4" t="s">
        <v>22</v>
      </c>
      <c r="I12" s="4" t="s">
        <v>22</v>
      </c>
      <c r="J12" s="3" t="s">
        <v>21</v>
      </c>
      <c r="K12" s="3" t="s">
        <v>21</v>
      </c>
      <c r="L12" s="3" t="n">
        <v>0</v>
      </c>
      <c r="M12" s="3" t="n">
        <v>1</v>
      </c>
      <c r="N12" s="3" t="s">
        <v>21</v>
      </c>
      <c r="O12" s="3" t="n">
        <v>1</v>
      </c>
      <c r="P12" s="3" t="n">
        <v>0</v>
      </c>
      <c r="Q12" s="3" t="n">
        <v>0</v>
      </c>
      <c r="R12" s="4" t="s">
        <v>22</v>
      </c>
    </row>
    <row r="13" customFormat="false" ht="15" hidden="false" customHeight="false" outlineLevel="0" collapsed="false">
      <c r="A13" s="2" t="s">
        <v>35</v>
      </c>
      <c r="B13" s="3" t="s">
        <v>19</v>
      </c>
      <c r="C13" s="3" t="s">
        <v>20</v>
      </c>
      <c r="D13" s="3" t="s">
        <v>21</v>
      </c>
      <c r="E13" s="3" t="n">
        <v>60</v>
      </c>
      <c r="F13" s="4" t="s">
        <v>22</v>
      </c>
      <c r="G13" s="4" t="s">
        <v>22</v>
      </c>
      <c r="H13" s="4" t="s">
        <v>22</v>
      </c>
      <c r="I13" s="4" t="s">
        <v>22</v>
      </c>
      <c r="J13" s="3" t="s">
        <v>21</v>
      </c>
      <c r="K13" s="3" t="s">
        <v>21</v>
      </c>
      <c r="L13" s="3" t="n">
        <v>0</v>
      </c>
      <c r="M13" s="3" t="n">
        <v>1</v>
      </c>
      <c r="N13" s="3" t="s">
        <v>21</v>
      </c>
      <c r="O13" s="3" t="n">
        <v>1</v>
      </c>
      <c r="P13" s="3" t="n">
        <v>0</v>
      </c>
      <c r="Q13" s="3" t="n">
        <v>1</v>
      </c>
      <c r="R13" s="4" t="s">
        <v>22</v>
      </c>
    </row>
    <row r="14" customFormat="false" ht="15" hidden="false" customHeight="false" outlineLevel="0" collapsed="false">
      <c r="A14" s="2" t="s">
        <v>36</v>
      </c>
      <c r="B14" s="3" t="s">
        <v>19</v>
      </c>
      <c r="C14" s="3" t="s">
        <v>25</v>
      </c>
      <c r="D14" s="3" t="s">
        <v>23</v>
      </c>
      <c r="E14" s="3" t="n">
        <v>60</v>
      </c>
      <c r="F14" s="3" t="n">
        <v>0</v>
      </c>
      <c r="G14" s="3" t="n">
        <v>20</v>
      </c>
      <c r="H14" s="3" t="n">
        <v>40</v>
      </c>
      <c r="I14" s="3" t="n">
        <v>30</v>
      </c>
      <c r="J14" s="3" t="s">
        <v>21</v>
      </c>
      <c r="K14" s="3" t="s">
        <v>21</v>
      </c>
      <c r="L14" s="3" t="n">
        <v>1</v>
      </c>
      <c r="M14" s="3" t="n">
        <v>1</v>
      </c>
      <c r="N14" s="3" t="s">
        <v>21</v>
      </c>
      <c r="O14" s="3" t="n">
        <v>1</v>
      </c>
      <c r="P14" s="3" t="n">
        <v>0</v>
      </c>
      <c r="Q14" s="3" t="n">
        <v>0</v>
      </c>
      <c r="R14" s="4" t="s">
        <v>22</v>
      </c>
    </row>
    <row r="15" customFormat="false" ht="15" hidden="false" customHeight="false" outlineLevel="0" collapsed="false">
      <c r="A15" s="2" t="s">
        <v>37</v>
      </c>
      <c r="B15" s="3" t="s">
        <v>19</v>
      </c>
      <c r="C15" s="3" t="s">
        <v>25</v>
      </c>
      <c r="D15" s="3" t="s">
        <v>23</v>
      </c>
      <c r="E15" s="3" t="n">
        <v>60</v>
      </c>
      <c r="F15" s="4" t="s">
        <v>22</v>
      </c>
      <c r="G15" s="4" t="s">
        <v>22</v>
      </c>
      <c r="H15" s="4" t="s">
        <v>22</v>
      </c>
      <c r="I15" s="4" t="s">
        <v>22</v>
      </c>
      <c r="J15" s="3" t="s">
        <v>21</v>
      </c>
      <c r="K15" s="3" t="s">
        <v>21</v>
      </c>
      <c r="L15" s="3" t="n">
        <v>0</v>
      </c>
      <c r="M15" s="3" t="n">
        <v>1</v>
      </c>
      <c r="N15" s="3" t="s">
        <v>21</v>
      </c>
      <c r="O15" s="3" t="n">
        <v>1</v>
      </c>
      <c r="P15" s="3" t="n">
        <v>0</v>
      </c>
      <c r="Q15" s="3" t="n">
        <v>0</v>
      </c>
      <c r="R15" s="4" t="s">
        <v>22</v>
      </c>
    </row>
    <row r="16" customFormat="false" ht="15" hidden="false" customHeight="false" outlineLevel="0" collapsed="false">
      <c r="A16" s="2" t="s">
        <v>38</v>
      </c>
      <c r="B16" s="3" t="s">
        <v>19</v>
      </c>
      <c r="C16" s="3" t="s">
        <v>25</v>
      </c>
      <c r="D16" s="3" t="s">
        <v>23</v>
      </c>
      <c r="E16" s="3" t="n">
        <v>60</v>
      </c>
      <c r="F16" s="4" t="s">
        <v>22</v>
      </c>
      <c r="G16" s="4" t="s">
        <v>22</v>
      </c>
      <c r="H16" s="4" t="s">
        <v>22</v>
      </c>
      <c r="I16" s="4" t="s">
        <v>22</v>
      </c>
      <c r="J16" s="3" t="s">
        <v>23</v>
      </c>
      <c r="K16" s="3" t="s">
        <v>23</v>
      </c>
      <c r="L16" s="3" t="n">
        <v>0</v>
      </c>
      <c r="M16" s="3" t="n">
        <v>1</v>
      </c>
      <c r="N16" s="3" t="s">
        <v>21</v>
      </c>
      <c r="O16" s="3" t="n">
        <v>1</v>
      </c>
      <c r="P16" s="3" t="n">
        <v>0</v>
      </c>
      <c r="Q16" s="3" t="n">
        <v>0</v>
      </c>
      <c r="R16" s="4" t="s">
        <v>22</v>
      </c>
    </row>
    <row r="17" customFormat="false" ht="15" hidden="false" customHeight="false" outlineLevel="0" collapsed="false">
      <c r="A17" s="2" t="s">
        <v>39</v>
      </c>
      <c r="B17" s="3" t="s">
        <v>40</v>
      </c>
      <c r="C17" s="4" t="s">
        <v>22</v>
      </c>
      <c r="D17" s="4" t="s">
        <v>22</v>
      </c>
      <c r="E17" s="4" t="s">
        <v>22</v>
      </c>
      <c r="F17" s="4" t="s">
        <v>22</v>
      </c>
      <c r="G17" s="4" t="s">
        <v>22</v>
      </c>
      <c r="H17" s="4" t="s">
        <v>22</v>
      </c>
      <c r="I17" s="4" t="s">
        <v>22</v>
      </c>
      <c r="J17" s="3" t="s">
        <v>21</v>
      </c>
      <c r="K17" s="3" t="s">
        <v>21</v>
      </c>
      <c r="L17" s="3" t="n">
        <v>0</v>
      </c>
      <c r="M17" s="3" t="n">
        <v>1</v>
      </c>
      <c r="N17" s="3" t="s">
        <v>21</v>
      </c>
      <c r="O17" s="3" t="n">
        <v>1</v>
      </c>
      <c r="P17" s="4" t="s">
        <v>22</v>
      </c>
      <c r="Q17" s="4" t="s">
        <v>22</v>
      </c>
      <c r="R17" s="4" t="s">
        <v>22</v>
      </c>
    </row>
    <row r="18" customFormat="false" ht="15" hidden="false" customHeight="false" outlineLevel="0" collapsed="false">
      <c r="A18" s="2" t="s">
        <v>41</v>
      </c>
      <c r="B18" s="3" t="s">
        <v>19</v>
      </c>
      <c r="C18" s="3" t="s">
        <v>20</v>
      </c>
      <c r="D18" s="3" t="s">
        <v>21</v>
      </c>
      <c r="E18" s="3" t="n">
        <v>60</v>
      </c>
      <c r="F18" s="4" t="s">
        <v>22</v>
      </c>
      <c r="G18" s="4" t="s">
        <v>22</v>
      </c>
      <c r="H18" s="4" t="s">
        <v>22</v>
      </c>
      <c r="I18" s="4" t="s">
        <v>22</v>
      </c>
      <c r="J18" s="3" t="s">
        <v>23</v>
      </c>
      <c r="K18" s="3" t="s">
        <v>23</v>
      </c>
      <c r="L18" s="3" t="n">
        <v>0</v>
      </c>
      <c r="M18" s="3" t="n">
        <v>1</v>
      </c>
      <c r="N18" s="3" t="s">
        <v>21</v>
      </c>
      <c r="O18" s="3" t="n">
        <v>1</v>
      </c>
      <c r="P18" s="3" t="n">
        <v>0</v>
      </c>
      <c r="Q18" s="3" t="n">
        <v>0</v>
      </c>
      <c r="R18" s="4" t="s">
        <v>22</v>
      </c>
    </row>
    <row r="19" customFormat="false" ht="15" hidden="false" customHeight="false" outlineLevel="0" collapsed="false">
      <c r="A19" s="2" t="s">
        <v>42</v>
      </c>
      <c r="B19" s="3" t="s">
        <v>19</v>
      </c>
      <c r="C19" s="3" t="s">
        <v>25</v>
      </c>
      <c r="D19" s="3" t="s">
        <v>23</v>
      </c>
      <c r="E19" s="3" t="n">
        <v>60</v>
      </c>
      <c r="F19" s="3" t="n">
        <v>0</v>
      </c>
      <c r="G19" s="3" t="n">
        <v>20</v>
      </c>
      <c r="H19" s="3" t="n">
        <v>40</v>
      </c>
      <c r="I19" s="3" t="n">
        <v>30</v>
      </c>
      <c r="J19" s="3" t="s">
        <v>21</v>
      </c>
      <c r="K19" s="3" t="s">
        <v>23</v>
      </c>
      <c r="L19" s="3" t="n">
        <v>0</v>
      </c>
      <c r="M19" s="3" t="n">
        <v>1</v>
      </c>
      <c r="N19" s="3" t="s">
        <v>21</v>
      </c>
      <c r="O19" s="3" t="n">
        <v>1</v>
      </c>
      <c r="P19" s="3" t="n">
        <v>0</v>
      </c>
      <c r="Q19" s="3" t="n">
        <v>0</v>
      </c>
      <c r="R19" s="4" t="s">
        <v>22</v>
      </c>
    </row>
    <row r="20" customFormat="false" ht="15" hidden="false" customHeight="false" outlineLevel="0" collapsed="false">
      <c r="A20" s="2" t="s">
        <v>43</v>
      </c>
      <c r="B20" s="3" t="s">
        <v>19</v>
      </c>
      <c r="C20" s="3" t="s">
        <v>20</v>
      </c>
      <c r="D20" s="3" t="s">
        <v>21</v>
      </c>
      <c r="E20" s="3" t="n">
        <v>60</v>
      </c>
      <c r="F20" s="4" t="s">
        <v>22</v>
      </c>
      <c r="G20" s="4" t="s">
        <v>22</v>
      </c>
      <c r="H20" s="4" t="s">
        <v>22</v>
      </c>
      <c r="I20" s="4" t="s">
        <v>22</v>
      </c>
      <c r="J20" s="3" t="s">
        <v>21</v>
      </c>
      <c r="K20" s="3" t="s">
        <v>23</v>
      </c>
      <c r="L20" s="3" t="n">
        <v>0</v>
      </c>
      <c r="M20" s="3" t="n">
        <v>1</v>
      </c>
      <c r="N20" s="3" t="s">
        <v>21</v>
      </c>
      <c r="O20" s="3" t="n">
        <v>1</v>
      </c>
      <c r="P20" s="3" t="n">
        <v>0</v>
      </c>
      <c r="Q20" s="3" t="n">
        <v>0</v>
      </c>
      <c r="R20" s="3" t="n">
        <v>0</v>
      </c>
    </row>
    <row r="21" customFormat="false" ht="15" hidden="false" customHeight="false" outlineLevel="0" collapsed="false">
      <c r="A21" s="2" t="s">
        <v>44</v>
      </c>
      <c r="B21" s="3" t="s">
        <v>19</v>
      </c>
      <c r="C21" s="3" t="s">
        <v>25</v>
      </c>
      <c r="D21" s="3" t="s">
        <v>23</v>
      </c>
      <c r="E21" s="3" t="n">
        <v>60</v>
      </c>
      <c r="F21" s="3" t="n">
        <v>0</v>
      </c>
      <c r="G21" s="3" t="n">
        <v>20</v>
      </c>
      <c r="H21" s="3" t="n">
        <v>40</v>
      </c>
      <c r="I21" s="3" t="n">
        <v>30</v>
      </c>
      <c r="J21" s="3" t="s">
        <v>21</v>
      </c>
      <c r="K21" s="3" t="s">
        <v>23</v>
      </c>
      <c r="L21" s="3" t="n">
        <v>0</v>
      </c>
      <c r="M21" s="3" t="n">
        <v>1</v>
      </c>
      <c r="N21" s="3" t="s">
        <v>21</v>
      </c>
      <c r="O21" s="3" t="n">
        <v>1</v>
      </c>
      <c r="P21" s="3" t="n">
        <v>0</v>
      </c>
      <c r="Q21" s="3" t="n">
        <v>0</v>
      </c>
      <c r="R21" s="4" t="s">
        <v>22</v>
      </c>
    </row>
    <row r="22" customFormat="false" ht="15" hidden="false" customHeight="false" outlineLevel="0" collapsed="false">
      <c r="A22" s="2" t="s">
        <v>45</v>
      </c>
      <c r="B22" s="3" t="s">
        <v>19</v>
      </c>
      <c r="C22" s="3" t="s">
        <v>20</v>
      </c>
      <c r="D22" s="3" t="s">
        <v>21</v>
      </c>
      <c r="E22" s="3" t="n">
        <v>5</v>
      </c>
      <c r="F22" s="4" t="s">
        <v>22</v>
      </c>
      <c r="G22" s="4" t="s">
        <v>22</v>
      </c>
      <c r="H22" s="4" t="s">
        <v>22</v>
      </c>
      <c r="I22" s="4" t="s">
        <v>22</v>
      </c>
      <c r="J22" s="3" t="s">
        <v>23</v>
      </c>
      <c r="K22" s="3" t="s">
        <v>23</v>
      </c>
      <c r="L22" s="3" t="n">
        <v>0</v>
      </c>
      <c r="M22" s="3" t="n">
        <v>1</v>
      </c>
      <c r="N22" s="3" t="s">
        <v>21</v>
      </c>
      <c r="O22" s="3" t="n">
        <v>1</v>
      </c>
      <c r="P22" s="3" t="n">
        <v>0</v>
      </c>
      <c r="Q22" s="3" t="n">
        <v>0</v>
      </c>
      <c r="R22" s="3" t="n">
        <v>0</v>
      </c>
    </row>
    <row r="23" customFormat="false" ht="15" hidden="false" customHeight="false" outlineLevel="0" collapsed="false">
      <c r="A23" s="2" t="s">
        <v>46</v>
      </c>
      <c r="B23" s="3" t="s">
        <v>19</v>
      </c>
      <c r="C23" s="3" t="s">
        <v>20</v>
      </c>
      <c r="D23" s="3" t="s">
        <v>21</v>
      </c>
      <c r="E23" s="3" t="n">
        <v>5</v>
      </c>
      <c r="F23" s="4" t="s">
        <v>22</v>
      </c>
      <c r="G23" s="4" t="s">
        <v>22</v>
      </c>
      <c r="H23" s="4" t="s">
        <v>22</v>
      </c>
      <c r="I23" s="4" t="s">
        <v>22</v>
      </c>
      <c r="J23" s="3" t="s">
        <v>23</v>
      </c>
      <c r="K23" s="3" t="s">
        <v>23</v>
      </c>
      <c r="L23" s="3" t="n">
        <v>0</v>
      </c>
      <c r="M23" s="3" t="n">
        <v>1</v>
      </c>
      <c r="N23" s="3" t="s">
        <v>21</v>
      </c>
      <c r="O23" s="3" t="n">
        <v>1</v>
      </c>
      <c r="P23" s="3" t="n">
        <v>0</v>
      </c>
      <c r="Q23" s="3" t="n">
        <v>0</v>
      </c>
      <c r="R23" s="3" t="n">
        <v>0</v>
      </c>
    </row>
    <row r="24" customFormat="false" ht="15" hidden="false" customHeight="false" outlineLevel="0" collapsed="false">
      <c r="A24" s="2" t="s">
        <v>47</v>
      </c>
      <c r="B24" s="3" t="s">
        <v>19</v>
      </c>
      <c r="C24" s="3" t="s">
        <v>25</v>
      </c>
      <c r="D24" s="3" t="s">
        <v>23</v>
      </c>
      <c r="E24" s="3" t="n">
        <v>60</v>
      </c>
      <c r="F24" s="4" t="s">
        <v>22</v>
      </c>
      <c r="G24" s="4" t="s">
        <v>22</v>
      </c>
      <c r="H24" s="4" t="s">
        <v>22</v>
      </c>
      <c r="I24" s="4" t="s">
        <v>22</v>
      </c>
      <c r="J24" s="3" t="s">
        <v>23</v>
      </c>
      <c r="K24" s="3" t="s">
        <v>23</v>
      </c>
      <c r="L24" s="3" t="n">
        <v>0</v>
      </c>
      <c r="M24" s="3" t="n">
        <v>1</v>
      </c>
      <c r="N24" s="3" t="s">
        <v>21</v>
      </c>
      <c r="O24" s="3" t="n">
        <v>1</v>
      </c>
      <c r="P24" s="3" t="n">
        <v>0</v>
      </c>
      <c r="Q24" s="3" t="n">
        <v>0</v>
      </c>
      <c r="R24" s="4" t="s">
        <v>22</v>
      </c>
    </row>
    <row r="25" customFormat="false" ht="15" hidden="false" customHeight="false" outlineLevel="0" collapsed="false">
      <c r="A25" s="2" t="s">
        <v>48</v>
      </c>
      <c r="B25" s="3" t="s">
        <v>19</v>
      </c>
      <c r="C25" s="3" t="s">
        <v>25</v>
      </c>
      <c r="D25" s="3" t="s">
        <v>23</v>
      </c>
      <c r="E25" s="3" t="n">
        <v>60</v>
      </c>
      <c r="F25" s="4" t="s">
        <v>22</v>
      </c>
      <c r="G25" s="4" t="s">
        <v>22</v>
      </c>
      <c r="H25" s="4" t="s">
        <v>22</v>
      </c>
      <c r="I25" s="4" t="s">
        <v>22</v>
      </c>
      <c r="J25" s="3" t="s">
        <v>23</v>
      </c>
      <c r="K25" s="3" t="s">
        <v>23</v>
      </c>
      <c r="L25" s="3" t="n">
        <v>0</v>
      </c>
      <c r="M25" s="3" t="n">
        <v>1</v>
      </c>
      <c r="N25" s="3" t="s">
        <v>21</v>
      </c>
      <c r="O25" s="3" t="n">
        <v>1</v>
      </c>
      <c r="P25" s="3" t="n">
        <v>0</v>
      </c>
      <c r="Q25" s="3" t="n">
        <v>0</v>
      </c>
      <c r="R25" s="4" t="s">
        <v>22</v>
      </c>
    </row>
    <row r="26" customFormat="false" ht="15" hidden="false" customHeight="false" outlineLevel="0" collapsed="false">
      <c r="A26" s="2" t="s">
        <v>49</v>
      </c>
      <c r="B26" s="3" t="s">
        <v>19</v>
      </c>
      <c r="C26" s="3" t="s">
        <v>25</v>
      </c>
      <c r="D26" s="3" t="s">
        <v>23</v>
      </c>
      <c r="E26" s="3" t="n">
        <v>60</v>
      </c>
      <c r="F26" s="4" t="s">
        <v>22</v>
      </c>
      <c r="G26" s="4" t="s">
        <v>22</v>
      </c>
      <c r="H26" s="4" t="s">
        <v>22</v>
      </c>
      <c r="I26" s="4" t="s">
        <v>22</v>
      </c>
      <c r="J26" s="3" t="s">
        <v>23</v>
      </c>
      <c r="K26" s="3" t="s">
        <v>23</v>
      </c>
      <c r="L26" s="3" t="n">
        <v>0</v>
      </c>
      <c r="M26" s="3" t="n">
        <v>1</v>
      </c>
      <c r="N26" s="3" t="s">
        <v>21</v>
      </c>
      <c r="O26" s="3" t="n">
        <v>1</v>
      </c>
      <c r="P26" s="3" t="n">
        <v>0</v>
      </c>
      <c r="Q26" s="3" t="n">
        <v>0</v>
      </c>
      <c r="R26" s="4" t="s">
        <v>22</v>
      </c>
    </row>
    <row r="27" customFormat="false" ht="15" hidden="false" customHeight="false" outlineLevel="0" collapsed="false">
      <c r="A27" s="2" t="s">
        <v>50</v>
      </c>
      <c r="B27" s="3" t="s">
        <v>40</v>
      </c>
      <c r="C27" s="4" t="s">
        <v>22</v>
      </c>
      <c r="D27" s="4" t="s">
        <v>22</v>
      </c>
      <c r="E27" s="4" t="s">
        <v>22</v>
      </c>
      <c r="F27" s="4" t="s">
        <v>22</v>
      </c>
      <c r="G27" s="4" t="s">
        <v>22</v>
      </c>
      <c r="H27" s="4" t="s">
        <v>22</v>
      </c>
      <c r="I27" s="4" t="s">
        <v>22</v>
      </c>
      <c r="J27" s="3" t="s">
        <v>23</v>
      </c>
      <c r="K27" s="3" t="s">
        <v>23</v>
      </c>
      <c r="L27" s="3" t="n">
        <v>0</v>
      </c>
      <c r="M27" s="3" t="n">
        <v>1</v>
      </c>
      <c r="N27" s="3" t="s">
        <v>21</v>
      </c>
      <c r="O27" s="3" t="n">
        <v>1</v>
      </c>
      <c r="P27" s="4" t="s">
        <v>22</v>
      </c>
      <c r="Q27" s="4" t="s">
        <v>22</v>
      </c>
      <c r="R27" s="4" t="s">
        <v>22</v>
      </c>
    </row>
    <row r="28" customFormat="false" ht="15" hidden="false" customHeight="false" outlineLevel="0" collapsed="false">
      <c r="A28" s="2" t="s">
        <v>51</v>
      </c>
      <c r="B28" s="3" t="s">
        <v>19</v>
      </c>
      <c r="C28" s="3" t="s">
        <v>25</v>
      </c>
      <c r="D28" s="3" t="s">
        <v>23</v>
      </c>
      <c r="E28" s="3" t="n">
        <v>60</v>
      </c>
      <c r="F28" s="3" t="n">
        <v>0</v>
      </c>
      <c r="G28" s="3" t="n">
        <v>20</v>
      </c>
      <c r="H28" s="3" t="n">
        <v>40</v>
      </c>
      <c r="I28" s="3" t="n">
        <v>30</v>
      </c>
      <c r="J28" s="3" t="s">
        <v>23</v>
      </c>
      <c r="K28" s="3" t="s">
        <v>23</v>
      </c>
      <c r="L28" s="3" t="n">
        <v>1</v>
      </c>
      <c r="M28" s="3" t="n">
        <v>1</v>
      </c>
      <c r="N28" s="3" t="s">
        <v>21</v>
      </c>
      <c r="O28" s="3" t="n">
        <v>1</v>
      </c>
      <c r="P28" s="3" t="n">
        <v>0</v>
      </c>
      <c r="Q28" s="3" t="n">
        <v>0</v>
      </c>
      <c r="R28" s="4" t="s">
        <v>22</v>
      </c>
    </row>
    <row r="29" customFormat="false" ht="15" hidden="false" customHeight="false" outlineLevel="0" collapsed="false">
      <c r="A29" s="2" t="s">
        <v>52</v>
      </c>
      <c r="B29" s="3" t="s">
        <v>19</v>
      </c>
      <c r="C29" s="3" t="s">
        <v>25</v>
      </c>
      <c r="D29" s="3" t="s">
        <v>23</v>
      </c>
      <c r="E29" s="3" t="n">
        <v>60</v>
      </c>
      <c r="F29" s="4" t="s">
        <v>22</v>
      </c>
      <c r="G29" s="4" t="s">
        <v>22</v>
      </c>
      <c r="H29" s="4" t="s">
        <v>22</v>
      </c>
      <c r="I29" s="4" t="s">
        <v>22</v>
      </c>
      <c r="J29" s="3" t="s">
        <v>23</v>
      </c>
      <c r="K29" s="3" t="s">
        <v>23</v>
      </c>
      <c r="L29" s="3" t="n">
        <v>1</v>
      </c>
      <c r="M29" s="3" t="n">
        <v>1</v>
      </c>
      <c r="N29" s="3" t="s">
        <v>21</v>
      </c>
      <c r="O29" s="3" t="n">
        <v>1</v>
      </c>
      <c r="P29" s="3" t="n">
        <v>0</v>
      </c>
      <c r="Q29" s="3" t="n">
        <v>0</v>
      </c>
      <c r="R29" s="4" t="s">
        <v>22</v>
      </c>
    </row>
    <row r="31" customFormat="false" ht="15" hidden="false" customHeight="false" outlineLevel="0" collapsed="false">
      <c r="A31" s="5" t="s">
        <v>53</v>
      </c>
    </row>
    <row r="32" customFormat="false" ht="15" hidden="false" customHeight="false" outlineLevel="0" collapsed="false">
      <c r="A32" s="6" t="s">
        <v>54</v>
      </c>
      <c r="B32" s="6"/>
      <c r="C32" s="6"/>
      <c r="D32" s="7" t="n">
        <f aca="false">COUNTA(A2:A29)</f>
        <v>28</v>
      </c>
    </row>
    <row r="33" customFormat="false" ht="15" hidden="false" customHeight="false" outlineLevel="0" collapsed="false">
      <c r="A33" s="6" t="s">
        <v>55</v>
      </c>
      <c r="B33" s="6"/>
      <c r="C33" s="6"/>
      <c r="D33" s="7" t="n">
        <f aca="false">COUNTIF(B2:B29,"OK")</f>
        <v>26</v>
      </c>
    </row>
    <row r="34" customFormat="false" ht="15" hidden="false" customHeight="false" outlineLevel="0" collapsed="false">
      <c r="A34" s="6" t="s">
        <v>56</v>
      </c>
      <c r="B34" s="6"/>
      <c r="C34" s="6"/>
      <c r="D34" s="7" t="n">
        <f aca="false">COUNTIF(B2:B29,"*/web/*")</f>
        <v>2</v>
      </c>
    </row>
    <row r="35" customFormat="false" ht="15" hidden="false" customHeight="false" outlineLevel="0" collapsed="false">
      <c r="A35" s="6" t="s">
        <v>57</v>
      </c>
      <c r="B35" s="6"/>
      <c r="C35" s="6"/>
      <c r="D35" s="7" t="n">
        <f aca="false">COUNTIF(B2:B29,"HTTP*")</f>
        <v>0</v>
      </c>
    </row>
    <row r="36" customFormat="false" ht="15" hidden="false" customHeight="false" outlineLevel="0" collapsed="false">
      <c r="A36" s="6" t="s">
        <v>58</v>
      </c>
      <c r="B36" s="6"/>
      <c r="C36" s="6"/>
      <c r="D36" s="7" t="n">
        <f aca="false">COUNTIF(C2:C29,"ja")</f>
        <v>13</v>
      </c>
    </row>
    <row r="37" customFormat="false" ht="15" hidden="false" customHeight="false" outlineLevel="0" collapsed="false">
      <c r="A37" s="6" t="s">
        <v>59</v>
      </c>
      <c r="B37" s="6"/>
      <c r="C37" s="6"/>
      <c r="D37" s="7" t="n">
        <f aca="false">COUNTIF(D2:D29,"Ein")</f>
        <v>13</v>
      </c>
    </row>
    <row r="38" customFormat="false" ht="15" hidden="false" customHeight="false" outlineLevel="0" collapsed="false">
      <c r="A38" s="6" t="s">
        <v>60</v>
      </c>
      <c r="B38" s="6"/>
      <c r="C38" s="6"/>
      <c r="D38" s="7" t="n">
        <f aca="false">COUNT(G2:G29)</f>
        <v>7</v>
      </c>
    </row>
    <row r="39" customFormat="false" ht="15" hidden="false" customHeight="false" outlineLevel="0" collapsed="false">
      <c r="A39" s="6" t="s">
        <v>61</v>
      </c>
      <c r="B39" s="6"/>
      <c r="C39" s="6"/>
      <c r="D39" s="7" t="n">
        <f aca="false">COUNTIF(J2:J29,"Ein")</f>
        <v>16</v>
      </c>
    </row>
    <row r="40" customFormat="false" ht="15" hidden="false" customHeight="false" outlineLevel="0" collapsed="false">
      <c r="A40" s="6" t="s">
        <v>62</v>
      </c>
      <c r="B40" s="6"/>
      <c r="C40" s="6"/>
      <c r="D40" s="7" t="n">
        <f aca="false">COUNTIF(K2:K29,"Ein")</f>
        <v>22</v>
      </c>
    </row>
    <row r="42" customFormat="false" ht="15" hidden="false" customHeight="false" outlineLevel="0" collapsed="false">
      <c r="A42" s="8" t="s">
        <v>63</v>
      </c>
    </row>
    <row r="43" customFormat="false" ht="15" hidden="false" customHeight="false" outlineLevel="0" collapsed="false">
      <c r="A43" s="9" t="s">
        <v>64</v>
      </c>
    </row>
    <row r="44" customFormat="false" ht="15" hidden="false" customHeight="false" outlineLevel="0" collapsed="false">
      <c r="A44" s="9" t="s">
        <v>65</v>
      </c>
    </row>
    <row r="45" customFormat="false" ht="15" hidden="false" customHeight="false" outlineLevel="0" collapsed="false">
      <c r="A45" s="9" t="s">
        <v>66</v>
      </c>
    </row>
    <row r="46" customFormat="false" ht="15" hidden="false" customHeight="false" outlineLevel="0" collapsed="false">
      <c r="A46" s="9" t="s">
        <v>67</v>
      </c>
    </row>
    <row r="47" customFormat="false" ht="15" hidden="false" customHeight="false" outlineLevel="0" collapsed="false">
      <c r="A47" s="9" t="s">
        <v>68</v>
      </c>
    </row>
  </sheetData>
  <autoFilter ref="A1:R29"/>
  <mergeCells count="9"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</mergeCells>
  <conditionalFormatting sqref="B2:B29">
    <cfRule type="expression" priority="2" aboveAverage="0" equalAverage="0" bottom="0" percent="0" rank="0" text="" dxfId="6">
      <formula>LEFT(B2,4)="HTTP"</formula>
    </cfRule>
    <cfRule type="expression" priority="3" aboveAverage="0" equalAverage="0" bottom="0" percent="0" rank="0" text="" dxfId="7">
      <formula>ISNUMBER(SEARCH("/web/",B2))</formula>
    </cfRule>
  </conditionalFormatting>
  <conditionalFormatting sqref="C2:D29">
    <cfRule type="expression" priority="4" aboveAverage="0" equalAverage="0" bottom="0" percent="0" rank="0" text="" dxfId="8">
      <formula>OR(C2="ja",C2="Ein")</formula>
    </cfRule>
    <cfRule type="expression" priority="5" aboveAverage="0" equalAverage="0" bottom="0" percent="0" rank="0" text="" dxfId="7">
      <formula>OR(C2="nein",C2="Aus")</formula>
    </cfRule>
  </conditionalFormatting>
  <conditionalFormatting sqref="J2:J29">
    <cfRule type="expression" priority="6" aboveAverage="0" equalAverage="0" bottom="0" percent="0" rank="0" text="" dxfId="8">
      <formula>J2="Ein"</formula>
    </cfRule>
  </conditionalFormatting>
  <conditionalFormatting sqref="K2:K29">
    <cfRule type="expression" priority="7" aboveAverage="0" equalAverage="0" bottom="0" percent="0" rank="0" text="" dxfId="7">
      <formula>K2="Ein"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150"/>
  </cols>
  <sheetData>
    <row r="1" customFormat="false" ht="19.5" hidden="false" customHeight="true" outlineLevel="0" collapsed="false">
      <c r="A1" s="10" t="s">
        <v>69</v>
      </c>
      <c r="B1" s="10"/>
      <c r="C1" s="10"/>
      <c r="D1" s="10"/>
    </row>
    <row r="2" customFormat="false" ht="27.75" hidden="false" customHeight="true" outlineLevel="0" collapsed="false">
      <c r="A2" s="11" t="s">
        <v>70</v>
      </c>
      <c r="B2" s="11"/>
      <c r="C2" s="11"/>
      <c r="D2" s="11"/>
    </row>
    <row r="3" customFormat="false" ht="15" hidden="false" customHeight="false" outlineLevel="0" collapsed="false">
      <c r="A3" s="12" t="s">
        <v>71</v>
      </c>
      <c r="B3" s="12" t="s">
        <v>0</v>
      </c>
      <c r="C3" s="12" t="s">
        <v>72</v>
      </c>
      <c r="D3" s="12" t="s">
        <v>73</v>
      </c>
    </row>
    <row r="4" customFormat="false" ht="15" hidden="false" customHeight="false" outlineLevel="0" collapsed="false">
      <c r="A4" s="3" t="n">
        <v>1</v>
      </c>
      <c r="B4" s="2" t="s">
        <v>18</v>
      </c>
      <c r="C4" s="13" t="s">
        <v>74</v>
      </c>
      <c r="D4" s="14" t="s">
        <v>75</v>
      </c>
    </row>
    <row r="5" customFormat="false" ht="15" hidden="false" customHeight="false" outlineLevel="0" collapsed="false">
      <c r="A5" s="3" t="n">
        <v>2</v>
      </c>
      <c r="B5" s="2" t="s">
        <v>24</v>
      </c>
      <c r="C5" s="13" t="s">
        <v>74</v>
      </c>
      <c r="D5" s="14" t="s">
        <v>76</v>
      </c>
    </row>
    <row r="6" customFormat="false" ht="15" hidden="false" customHeight="false" outlineLevel="0" collapsed="false">
      <c r="A6" s="3" t="n">
        <v>3</v>
      </c>
      <c r="B6" s="2" t="s">
        <v>26</v>
      </c>
      <c r="C6" s="13" t="s">
        <v>74</v>
      </c>
      <c r="D6" s="14" t="s">
        <v>77</v>
      </c>
    </row>
    <row r="7" customFormat="false" ht="15" hidden="false" customHeight="false" outlineLevel="0" collapsed="false">
      <c r="A7" s="3" t="n">
        <v>4</v>
      </c>
      <c r="B7" s="2" t="s">
        <v>27</v>
      </c>
      <c r="C7" s="13" t="s">
        <v>74</v>
      </c>
      <c r="D7" s="14" t="s">
        <v>78</v>
      </c>
    </row>
    <row r="8" customFormat="false" ht="15" hidden="false" customHeight="false" outlineLevel="0" collapsed="false">
      <c r="A8" s="3" t="n">
        <v>5</v>
      </c>
      <c r="B8" s="2" t="s">
        <v>28</v>
      </c>
      <c r="C8" s="13" t="s">
        <v>74</v>
      </c>
      <c r="D8" s="14" t="s">
        <v>79</v>
      </c>
    </row>
    <row r="9" customFormat="false" ht="15" hidden="false" customHeight="false" outlineLevel="0" collapsed="false">
      <c r="A9" s="3" t="n">
        <v>6</v>
      </c>
      <c r="B9" s="2" t="s">
        <v>29</v>
      </c>
      <c r="C9" s="13" t="s">
        <v>74</v>
      </c>
      <c r="D9" s="14" t="s">
        <v>80</v>
      </c>
    </row>
    <row r="10" customFormat="false" ht="15" hidden="false" customHeight="false" outlineLevel="0" collapsed="false">
      <c r="A10" s="3" t="n">
        <v>7</v>
      </c>
      <c r="B10" s="2" t="s">
        <v>30</v>
      </c>
      <c r="C10" s="13" t="s">
        <v>74</v>
      </c>
      <c r="D10" s="14" t="s">
        <v>81</v>
      </c>
    </row>
    <row r="11" customFormat="false" ht="15" hidden="false" customHeight="false" outlineLevel="0" collapsed="false">
      <c r="A11" s="3" t="n">
        <v>8</v>
      </c>
      <c r="B11" s="2" t="s">
        <v>31</v>
      </c>
      <c r="C11" s="13" t="s">
        <v>74</v>
      </c>
      <c r="D11" s="14" t="s">
        <v>82</v>
      </c>
    </row>
    <row r="12" customFormat="false" ht="15" hidden="false" customHeight="false" outlineLevel="0" collapsed="false">
      <c r="A12" s="3" t="n">
        <v>9</v>
      </c>
      <c r="B12" s="2" t="s">
        <v>32</v>
      </c>
      <c r="C12" s="13" t="s">
        <v>74</v>
      </c>
      <c r="D12" s="14" t="s">
        <v>83</v>
      </c>
    </row>
    <row r="13" customFormat="false" ht="15" hidden="false" customHeight="false" outlineLevel="0" collapsed="false">
      <c r="A13" s="3" t="n">
        <v>10</v>
      </c>
      <c r="B13" s="2" t="s">
        <v>33</v>
      </c>
      <c r="C13" s="13" t="s">
        <v>74</v>
      </c>
      <c r="D13" s="14" t="s">
        <v>84</v>
      </c>
    </row>
    <row r="14" customFormat="false" ht="15" hidden="false" customHeight="false" outlineLevel="0" collapsed="false">
      <c r="A14" s="3" t="n">
        <v>11</v>
      </c>
      <c r="B14" s="2" t="s">
        <v>34</v>
      </c>
      <c r="C14" s="13" t="s">
        <v>74</v>
      </c>
      <c r="D14" s="14" t="s">
        <v>85</v>
      </c>
    </row>
    <row r="15" customFormat="false" ht="15" hidden="false" customHeight="false" outlineLevel="0" collapsed="false">
      <c r="A15" s="3" t="n">
        <v>12</v>
      </c>
      <c r="B15" s="2" t="s">
        <v>35</v>
      </c>
      <c r="C15" s="13" t="s">
        <v>74</v>
      </c>
      <c r="D15" s="14" t="s">
        <v>86</v>
      </c>
    </row>
    <row r="16" customFormat="false" ht="15" hidden="false" customHeight="false" outlineLevel="0" collapsed="false">
      <c r="A16" s="3" t="n">
        <v>13</v>
      </c>
      <c r="B16" s="2" t="s">
        <v>36</v>
      </c>
      <c r="C16" s="13" t="s">
        <v>74</v>
      </c>
      <c r="D16" s="14" t="s">
        <v>87</v>
      </c>
    </row>
    <row r="17" customFormat="false" ht="15" hidden="false" customHeight="false" outlineLevel="0" collapsed="false">
      <c r="A17" s="3" t="n">
        <v>14</v>
      </c>
      <c r="B17" s="2" t="s">
        <v>37</v>
      </c>
      <c r="C17" s="13" t="s">
        <v>74</v>
      </c>
      <c r="D17" s="14" t="s">
        <v>88</v>
      </c>
    </row>
    <row r="18" customFormat="false" ht="15" hidden="false" customHeight="false" outlineLevel="0" collapsed="false">
      <c r="A18" s="3" t="n">
        <v>15</v>
      </c>
      <c r="B18" s="2" t="s">
        <v>38</v>
      </c>
      <c r="C18" s="13" t="s">
        <v>74</v>
      </c>
      <c r="D18" s="14" t="s">
        <v>89</v>
      </c>
    </row>
    <row r="19" customFormat="false" ht="15" hidden="false" customHeight="false" outlineLevel="0" collapsed="false">
      <c r="A19" s="15" t="n">
        <v>16</v>
      </c>
      <c r="B19" s="16" t="s">
        <v>39</v>
      </c>
      <c r="C19" s="17" t="s">
        <v>90</v>
      </c>
      <c r="D19" s="18" t="s">
        <v>91</v>
      </c>
    </row>
    <row r="20" customFormat="false" ht="15" hidden="false" customHeight="false" outlineLevel="0" collapsed="false">
      <c r="A20" s="3" t="n">
        <v>17</v>
      </c>
      <c r="B20" s="2" t="s">
        <v>41</v>
      </c>
      <c r="C20" s="13" t="s">
        <v>74</v>
      </c>
      <c r="D20" s="14" t="s">
        <v>92</v>
      </c>
    </row>
    <row r="21" customFormat="false" ht="15" hidden="false" customHeight="false" outlineLevel="0" collapsed="false">
      <c r="A21" s="3" t="n">
        <v>18</v>
      </c>
      <c r="B21" s="2" t="s">
        <v>42</v>
      </c>
      <c r="C21" s="13" t="s">
        <v>74</v>
      </c>
      <c r="D21" s="14" t="s">
        <v>93</v>
      </c>
    </row>
    <row r="22" customFormat="false" ht="15" hidden="false" customHeight="false" outlineLevel="0" collapsed="false">
      <c r="A22" s="3" t="n">
        <v>19</v>
      </c>
      <c r="B22" s="2" t="s">
        <v>43</v>
      </c>
      <c r="C22" s="13" t="s">
        <v>74</v>
      </c>
      <c r="D22" s="14" t="s">
        <v>94</v>
      </c>
    </row>
    <row r="23" customFormat="false" ht="15" hidden="false" customHeight="false" outlineLevel="0" collapsed="false">
      <c r="A23" s="3" t="n">
        <v>20</v>
      </c>
      <c r="B23" s="2" t="s">
        <v>44</v>
      </c>
      <c r="C23" s="13" t="s">
        <v>74</v>
      </c>
      <c r="D23" s="14" t="s">
        <v>95</v>
      </c>
    </row>
    <row r="24" customFormat="false" ht="15" hidden="false" customHeight="false" outlineLevel="0" collapsed="false">
      <c r="A24" s="3" t="n">
        <v>21</v>
      </c>
      <c r="B24" s="2" t="s">
        <v>45</v>
      </c>
      <c r="C24" s="13" t="s">
        <v>74</v>
      </c>
      <c r="D24" s="14" t="s">
        <v>96</v>
      </c>
    </row>
    <row r="25" customFormat="false" ht="15" hidden="false" customHeight="false" outlineLevel="0" collapsed="false">
      <c r="A25" s="3" t="n">
        <v>22</v>
      </c>
      <c r="B25" s="2" t="s">
        <v>46</v>
      </c>
      <c r="C25" s="13" t="s">
        <v>74</v>
      </c>
      <c r="D25" s="14" t="s">
        <v>97</v>
      </c>
    </row>
    <row r="26" customFormat="false" ht="15" hidden="false" customHeight="false" outlineLevel="0" collapsed="false">
      <c r="A26" s="3" t="n">
        <v>23</v>
      </c>
      <c r="B26" s="2" t="s">
        <v>47</v>
      </c>
      <c r="C26" s="13" t="s">
        <v>74</v>
      </c>
      <c r="D26" s="14" t="s">
        <v>98</v>
      </c>
    </row>
    <row r="27" customFormat="false" ht="15" hidden="false" customHeight="false" outlineLevel="0" collapsed="false">
      <c r="A27" s="3" t="n">
        <v>24</v>
      </c>
      <c r="B27" s="2" t="s">
        <v>48</v>
      </c>
      <c r="C27" s="13" t="s">
        <v>74</v>
      </c>
      <c r="D27" s="14" t="s">
        <v>99</v>
      </c>
    </row>
    <row r="28" customFormat="false" ht="15" hidden="false" customHeight="false" outlineLevel="0" collapsed="false">
      <c r="A28" s="3" t="n">
        <v>25</v>
      </c>
      <c r="B28" s="2" t="s">
        <v>49</v>
      </c>
      <c r="C28" s="13" t="s">
        <v>74</v>
      </c>
      <c r="D28" s="14" t="s">
        <v>100</v>
      </c>
    </row>
    <row r="29" customFormat="false" ht="15" hidden="false" customHeight="false" outlineLevel="0" collapsed="false">
      <c r="A29" s="15" t="n">
        <v>26</v>
      </c>
      <c r="B29" s="16" t="s">
        <v>50</v>
      </c>
      <c r="C29" s="17" t="s">
        <v>90</v>
      </c>
      <c r="D29" s="18" t="s">
        <v>101</v>
      </c>
    </row>
    <row r="30" customFormat="false" ht="15" hidden="false" customHeight="false" outlineLevel="0" collapsed="false">
      <c r="A30" s="3" t="n">
        <v>27</v>
      </c>
      <c r="B30" s="2" t="s">
        <v>51</v>
      </c>
      <c r="C30" s="13" t="s">
        <v>74</v>
      </c>
      <c r="D30" s="14" t="s">
        <v>102</v>
      </c>
    </row>
    <row r="31" customFormat="false" ht="15" hidden="false" customHeight="false" outlineLevel="0" collapsed="false">
      <c r="A31" s="3" t="n">
        <v>28</v>
      </c>
      <c r="B31" s="2" t="s">
        <v>52</v>
      </c>
      <c r="C31" s="13" t="s">
        <v>74</v>
      </c>
      <c r="D31" s="14" t="s">
        <v>103</v>
      </c>
    </row>
    <row r="32" customFormat="false" ht="15" hidden="false" customHeight="true" outlineLevel="0" collapsed="false">
      <c r="A32" s="19" t="s">
        <v>104</v>
      </c>
      <c r="B32" s="19"/>
      <c r="C32" s="19"/>
      <c r="D32" s="19"/>
    </row>
    <row r="34" customFormat="false" ht="19.5" hidden="false" customHeight="true" outlineLevel="0" collapsed="false">
      <c r="A34" s="10" t="s">
        <v>105</v>
      </c>
      <c r="B34" s="10"/>
      <c r="C34" s="10"/>
      <c r="D34" s="10"/>
    </row>
    <row r="35" customFormat="false" ht="21.75" hidden="false" customHeight="true" outlineLevel="0" collapsed="false">
      <c r="A35" s="20" t="s">
        <v>106</v>
      </c>
      <c r="B35" s="20"/>
      <c r="C35" s="20"/>
      <c r="D35" s="20"/>
    </row>
    <row r="36" customFormat="false" ht="57.75" hidden="false" customHeight="true" outlineLevel="0" collapsed="false">
      <c r="A36" s="21" t="s">
        <v>107</v>
      </c>
      <c r="B36" s="21"/>
      <c r="C36" s="21"/>
      <c r="D36" s="21"/>
    </row>
    <row r="38" customFormat="false" ht="15.75" hidden="false" customHeight="true" outlineLevel="0" collapsed="false">
      <c r="A38" s="11" t="s">
        <v>108</v>
      </c>
      <c r="B38" s="11"/>
      <c r="C38" s="11"/>
      <c r="D38" s="11"/>
    </row>
    <row r="39" customFormat="false" ht="15.75" hidden="false" customHeight="true" outlineLevel="0" collapsed="false">
      <c r="A39" s="11" t="s">
        <v>109</v>
      </c>
      <c r="B39" s="11"/>
      <c r="C39" s="11"/>
      <c r="D39" s="11"/>
    </row>
    <row r="40" customFormat="false" ht="15.75" hidden="false" customHeight="true" outlineLevel="0" collapsed="false">
      <c r="A40" s="11" t="s">
        <v>110</v>
      </c>
      <c r="B40" s="11"/>
      <c r="C40" s="11"/>
      <c r="D40" s="11"/>
    </row>
    <row r="41" customFormat="false" ht="15.75" hidden="false" customHeight="true" outlineLevel="0" collapsed="false">
      <c r="A41" s="11" t="s">
        <v>111</v>
      </c>
      <c r="B41" s="11"/>
      <c r="C41" s="11"/>
      <c r="D41" s="11"/>
    </row>
    <row r="43" customFormat="false" ht="15" hidden="false" customHeight="true" outlineLevel="0" collapsed="false">
      <c r="A43" s="22" t="s">
        <v>112</v>
      </c>
      <c r="B43" s="22"/>
      <c r="C43" s="22"/>
      <c r="D43" s="22"/>
    </row>
    <row r="44" customFormat="false" ht="15" hidden="false" customHeight="false" outlineLevel="0" collapsed="false">
      <c r="A44" s="23" t="s">
        <v>113</v>
      </c>
      <c r="B44" s="23" t="s">
        <v>114</v>
      </c>
      <c r="C44" s="23"/>
      <c r="D44" s="23" t="s">
        <v>115</v>
      </c>
    </row>
    <row r="45" customFormat="false" ht="30" hidden="false" customHeight="true" outlineLevel="0" collapsed="false">
      <c r="A45" s="24" t="s">
        <v>116</v>
      </c>
      <c r="B45" s="25" t="s">
        <v>117</v>
      </c>
      <c r="C45" s="25"/>
      <c r="D45" s="26" t="s">
        <v>118</v>
      </c>
    </row>
    <row r="46" customFormat="false" ht="30" hidden="false" customHeight="true" outlineLevel="0" collapsed="false">
      <c r="A46" s="24" t="s">
        <v>119</v>
      </c>
      <c r="B46" s="25" t="s">
        <v>120</v>
      </c>
      <c r="C46" s="25"/>
      <c r="D46" s="26" t="s">
        <v>121</v>
      </c>
    </row>
    <row r="47" customFormat="false" ht="30" hidden="false" customHeight="true" outlineLevel="0" collapsed="false">
      <c r="A47" s="24" t="s">
        <v>122</v>
      </c>
      <c r="B47" s="25" t="s">
        <v>123</v>
      </c>
      <c r="C47" s="25"/>
      <c r="D47" s="26" t="s">
        <v>124</v>
      </c>
    </row>
    <row r="48" customFormat="false" ht="30" hidden="false" customHeight="true" outlineLevel="0" collapsed="false">
      <c r="A48" s="27" t="s">
        <v>125</v>
      </c>
      <c r="B48" s="28" t="s">
        <v>126</v>
      </c>
      <c r="C48" s="28"/>
      <c r="D48" s="29" t="s">
        <v>127</v>
      </c>
    </row>
    <row r="49" customFormat="false" ht="30" hidden="false" customHeight="true" outlineLevel="0" collapsed="false">
      <c r="A49" s="24" t="s">
        <v>128</v>
      </c>
      <c r="B49" s="25" t="s">
        <v>129</v>
      </c>
      <c r="C49" s="25"/>
      <c r="D49" s="26" t="s">
        <v>130</v>
      </c>
    </row>
    <row r="50" customFormat="false" ht="30" hidden="false" customHeight="true" outlineLevel="0" collapsed="false">
      <c r="A50" s="24" t="s">
        <v>131</v>
      </c>
      <c r="B50" s="25" t="s">
        <v>132</v>
      </c>
      <c r="C50" s="25"/>
      <c r="D50" s="26" t="s">
        <v>133</v>
      </c>
    </row>
    <row r="51" customFormat="false" ht="30" hidden="false" customHeight="true" outlineLevel="0" collapsed="false">
      <c r="A51" s="24" t="s">
        <v>134</v>
      </c>
      <c r="B51" s="25" t="s">
        <v>135</v>
      </c>
      <c r="C51" s="25"/>
      <c r="D51" s="26" t="s">
        <v>136</v>
      </c>
    </row>
    <row r="52" customFormat="false" ht="30" hidden="false" customHeight="true" outlineLevel="0" collapsed="false">
      <c r="A52" s="30" t="s">
        <v>137</v>
      </c>
      <c r="B52" s="31" t="s">
        <v>138</v>
      </c>
      <c r="C52" s="31"/>
      <c r="D52" s="32" t="s">
        <v>139</v>
      </c>
    </row>
    <row r="53" customFormat="false" ht="42" hidden="false" customHeight="true" outlineLevel="0" collapsed="false">
      <c r="A53" s="30" t="s">
        <v>140</v>
      </c>
      <c r="B53" s="31" t="s">
        <v>141</v>
      </c>
      <c r="C53" s="31"/>
      <c r="D53" s="32" t="s">
        <v>142</v>
      </c>
    </row>
    <row r="54" customFormat="false" ht="30" hidden="false" customHeight="true" outlineLevel="0" collapsed="false">
      <c r="A54" s="30" t="s">
        <v>143</v>
      </c>
      <c r="B54" s="31" t="s">
        <v>144</v>
      </c>
      <c r="C54" s="31"/>
      <c r="D54" s="32" t="s">
        <v>145</v>
      </c>
    </row>
    <row r="55" customFormat="false" ht="42" hidden="false" customHeight="true" outlineLevel="0" collapsed="false">
      <c r="A55" s="30" t="s">
        <v>146</v>
      </c>
      <c r="B55" s="31" t="s">
        <v>147</v>
      </c>
      <c r="C55" s="31"/>
      <c r="D55" s="32" t="s">
        <v>148</v>
      </c>
    </row>
    <row r="57" customFormat="false" ht="15" hidden="false" customHeight="true" outlineLevel="0" collapsed="false">
      <c r="A57" s="22" t="s">
        <v>149</v>
      </c>
      <c r="B57" s="22"/>
      <c r="C57" s="22"/>
      <c r="D57" s="22"/>
    </row>
    <row r="58" customFormat="false" ht="15" hidden="false" customHeight="true" outlineLevel="0" collapsed="false">
      <c r="A58" s="33" t="s">
        <v>150</v>
      </c>
      <c r="B58" s="33"/>
      <c r="C58" s="33"/>
      <c r="D58" s="33"/>
    </row>
    <row r="59" customFormat="false" ht="15" hidden="false" customHeight="true" outlineLevel="0" collapsed="false">
      <c r="A59" s="33" t="s">
        <v>151</v>
      </c>
      <c r="B59" s="33"/>
      <c r="C59" s="33"/>
      <c r="D59" s="33"/>
    </row>
    <row r="60" customFormat="false" ht="15" hidden="false" customHeight="true" outlineLevel="0" collapsed="false">
      <c r="A60" s="33" t="s">
        <v>152</v>
      </c>
      <c r="B60" s="33"/>
      <c r="C60" s="33"/>
      <c r="D60" s="33"/>
    </row>
    <row r="61" customFormat="false" ht="15" hidden="false" customHeight="true" outlineLevel="0" collapsed="false">
      <c r="A61" s="22" t="s">
        <v>153</v>
      </c>
      <c r="B61" s="22"/>
      <c r="C61" s="22"/>
      <c r="D61" s="22"/>
    </row>
    <row r="62" customFormat="false" ht="25.5" hidden="false" customHeight="true" outlineLevel="0" collapsed="false">
      <c r="A62" s="33" t="s">
        <v>154</v>
      </c>
      <c r="B62" s="33"/>
      <c r="C62" s="33"/>
      <c r="D62" s="33"/>
    </row>
    <row r="63" customFormat="false" ht="15" hidden="false" customHeight="true" outlineLevel="0" collapsed="false">
      <c r="A63" s="22" t="s">
        <v>155</v>
      </c>
      <c r="B63" s="22"/>
      <c r="C63" s="22"/>
      <c r="D63" s="22"/>
    </row>
    <row r="64" customFormat="false" ht="15" hidden="false" customHeight="true" outlineLevel="0" collapsed="false">
      <c r="A64" s="33" t="s">
        <v>156</v>
      </c>
      <c r="B64" s="33"/>
      <c r="C64" s="33"/>
      <c r="D64" s="33"/>
    </row>
    <row r="65" customFormat="false" ht="15" hidden="false" customHeight="true" outlineLevel="0" collapsed="false">
      <c r="A65" s="33" t="s">
        <v>157</v>
      </c>
      <c r="B65" s="33"/>
      <c r="C65" s="33"/>
      <c r="D65" s="33"/>
    </row>
    <row r="66" customFormat="false" ht="15.75" hidden="false" customHeight="true" outlineLevel="0" collapsed="false">
      <c r="A66" s="34" t="s">
        <v>158</v>
      </c>
      <c r="B66" s="34"/>
      <c r="C66" s="34"/>
      <c r="D66" s="34"/>
    </row>
    <row r="67" customFormat="false" ht="15" hidden="false" customHeight="true" outlineLevel="0" collapsed="false">
      <c r="A67" s="22" t="s">
        <v>159</v>
      </c>
      <c r="B67" s="22"/>
      <c r="C67" s="22"/>
      <c r="D67" s="22"/>
    </row>
    <row r="68" customFormat="false" ht="15" hidden="false" customHeight="true" outlineLevel="0" collapsed="false">
      <c r="A68" s="33" t="s">
        <v>160</v>
      </c>
      <c r="B68" s="33"/>
      <c r="C68" s="33"/>
      <c r="D68" s="33"/>
    </row>
    <row r="70" customFormat="false" ht="19.5" hidden="false" customHeight="true" outlineLevel="0" collapsed="false">
      <c r="A70" s="10" t="s">
        <v>161</v>
      </c>
      <c r="B70" s="10"/>
      <c r="C70" s="10"/>
      <c r="D70" s="10"/>
    </row>
    <row r="71" customFormat="false" ht="15.75" hidden="false" customHeight="true" outlineLevel="0" collapsed="false">
      <c r="A71" s="11" t="s">
        <v>162</v>
      </c>
      <c r="B71" s="11"/>
      <c r="C71" s="11"/>
      <c r="D71" s="11"/>
    </row>
    <row r="72" customFormat="false" ht="15.75" hidden="false" customHeight="true" outlineLevel="0" collapsed="false">
      <c r="A72" s="11" t="s">
        <v>163</v>
      </c>
      <c r="B72" s="11"/>
      <c r="C72" s="11"/>
      <c r="D72" s="11"/>
    </row>
    <row r="73" customFormat="false" ht="15.75" hidden="false" customHeight="true" outlineLevel="0" collapsed="false">
      <c r="A73" s="11" t="s">
        <v>164</v>
      </c>
      <c r="B73" s="11"/>
      <c r="C73" s="11"/>
      <c r="D73" s="11"/>
    </row>
    <row r="74" customFormat="false" ht="15" hidden="false" customHeight="true" outlineLevel="0" collapsed="false">
      <c r="A74" s="33" t="s">
        <v>165</v>
      </c>
      <c r="B74" s="33"/>
      <c r="C74" s="33"/>
      <c r="D74" s="33"/>
    </row>
    <row r="76" customFormat="false" ht="19.5" hidden="false" customHeight="true" outlineLevel="0" collapsed="false">
      <c r="A76" s="10" t="s">
        <v>166</v>
      </c>
      <c r="B76" s="10"/>
      <c r="C76" s="10"/>
      <c r="D76" s="10"/>
    </row>
    <row r="77" customFormat="false" ht="15.75" hidden="false" customHeight="true" outlineLevel="0" collapsed="false">
      <c r="A77" s="11" t="s">
        <v>167</v>
      </c>
      <c r="B77" s="11"/>
      <c r="C77" s="11"/>
      <c r="D77" s="11"/>
    </row>
    <row r="78" customFormat="false" ht="15.75" hidden="false" customHeight="true" outlineLevel="0" collapsed="false">
      <c r="A78" s="11" t="s">
        <v>168</v>
      </c>
      <c r="B78" s="11"/>
      <c r="C78" s="11"/>
      <c r="D78" s="11"/>
    </row>
    <row r="79" customFormat="false" ht="15.75" hidden="false" customHeight="true" outlineLevel="0" collapsed="false">
      <c r="A79" s="11" t="s">
        <v>169</v>
      </c>
      <c r="B79" s="11"/>
      <c r="C79" s="11"/>
      <c r="D79" s="11"/>
    </row>
    <row r="80" customFormat="false" ht="15.75" hidden="false" customHeight="true" outlineLevel="0" collapsed="false">
      <c r="A80" s="11" t="s">
        <v>170</v>
      </c>
      <c r="B80" s="11"/>
      <c r="C80" s="11"/>
      <c r="D80" s="11"/>
    </row>
    <row r="81" customFormat="false" ht="15.75" hidden="false" customHeight="true" outlineLevel="0" collapsed="false">
      <c r="A81" s="11" t="s">
        <v>171</v>
      </c>
      <c r="B81" s="11"/>
      <c r="C81" s="11"/>
      <c r="D81" s="11"/>
    </row>
    <row r="82" customFormat="false" ht="15.75" hidden="false" customHeight="true" outlineLevel="0" collapsed="false">
      <c r="A82" s="11" t="s">
        <v>172</v>
      </c>
      <c r="B82" s="11"/>
      <c r="C82" s="11"/>
      <c r="D82" s="11"/>
    </row>
    <row r="83" customFormat="false" ht="15.75" hidden="false" customHeight="true" outlineLevel="0" collapsed="false">
      <c r="A83" s="11" t="s">
        <v>173</v>
      </c>
      <c r="B83" s="11"/>
      <c r="C83" s="11"/>
      <c r="D83" s="11"/>
    </row>
  </sheetData>
  <mergeCells count="48">
    <mergeCell ref="A1:D1"/>
    <mergeCell ref="A2:D2"/>
    <mergeCell ref="A32:D32"/>
    <mergeCell ref="A34:D34"/>
    <mergeCell ref="A35:D35"/>
    <mergeCell ref="A36:D36"/>
    <mergeCell ref="A38:D38"/>
    <mergeCell ref="A39:D39"/>
    <mergeCell ref="A40:D40"/>
    <mergeCell ref="A41:D41"/>
    <mergeCell ref="A43:D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70:D70"/>
    <mergeCell ref="A71:D71"/>
    <mergeCell ref="A72:D72"/>
    <mergeCell ref="A73:D73"/>
    <mergeCell ref="A74:D74"/>
    <mergeCell ref="A76:D76"/>
    <mergeCell ref="A77:D77"/>
    <mergeCell ref="A78:D78"/>
    <mergeCell ref="A79:D79"/>
    <mergeCell ref="A80:D80"/>
    <mergeCell ref="A81:D81"/>
    <mergeCell ref="A82:D82"/>
    <mergeCell ref="A83:D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7"/>
    <col collapsed="false" customWidth="true" hidden="false" outlineLevel="0" max="5" min="4" style="0" width="28"/>
    <col collapsed="false" customWidth="true" hidden="false" outlineLevel="0" max="6" min="6" style="0" width="70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34"/>
    <col collapsed="false" customWidth="true" hidden="false" outlineLevel="0" max="10" min="10" style="0" width="18"/>
  </cols>
  <sheetData>
    <row r="1" customFormat="false" ht="33.75" hidden="false" customHeight="true" outlineLevel="0" collapsed="false">
      <c r="A1" s="1" t="s">
        <v>71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</row>
    <row r="2" customFormat="false" ht="46.25" hidden="false" customHeight="false" outlineLevel="0" collapsed="false">
      <c r="A2" s="35" t="n">
        <v>1</v>
      </c>
      <c r="B2" s="25" t="s">
        <v>183</v>
      </c>
      <c r="C2" s="26" t="s">
        <v>184</v>
      </c>
      <c r="D2" s="26" t="s">
        <v>185</v>
      </c>
      <c r="E2" s="26" t="s">
        <v>186</v>
      </c>
      <c r="F2" s="26" t="s">
        <v>187</v>
      </c>
      <c r="G2" s="26" t="s">
        <v>188</v>
      </c>
      <c r="H2" s="35" t="s">
        <v>189</v>
      </c>
      <c r="I2" s="26" t="s">
        <v>190</v>
      </c>
      <c r="J2" s="26" t="s">
        <v>191</v>
      </c>
    </row>
    <row r="3" customFormat="false" ht="23.85" hidden="false" customHeight="false" outlineLevel="0" collapsed="false">
      <c r="A3" s="35" t="n">
        <v>2</v>
      </c>
      <c r="B3" s="25" t="s">
        <v>192</v>
      </c>
      <c r="C3" s="26" t="s">
        <v>184</v>
      </c>
      <c r="D3" s="26" t="s">
        <v>193</v>
      </c>
      <c r="E3" s="26" t="s">
        <v>186</v>
      </c>
      <c r="F3" s="26" t="s">
        <v>194</v>
      </c>
      <c r="G3" s="26" t="s">
        <v>188</v>
      </c>
      <c r="H3" s="35" t="s">
        <v>189</v>
      </c>
      <c r="I3" s="26" t="s">
        <v>190</v>
      </c>
      <c r="J3" s="26" t="s">
        <v>191</v>
      </c>
    </row>
    <row r="4" customFormat="false" ht="46.25" hidden="false" customHeight="false" outlineLevel="0" collapsed="false">
      <c r="A4" s="35" t="n">
        <v>3</v>
      </c>
      <c r="B4" s="25" t="s">
        <v>195</v>
      </c>
      <c r="C4" s="26" t="s">
        <v>184</v>
      </c>
      <c r="D4" s="26" t="s">
        <v>196</v>
      </c>
      <c r="E4" s="26" t="s">
        <v>197</v>
      </c>
      <c r="F4" s="26" t="s">
        <v>198</v>
      </c>
      <c r="G4" s="26" t="s">
        <v>199</v>
      </c>
      <c r="H4" s="35" t="s">
        <v>200</v>
      </c>
      <c r="I4" s="36" t="s">
        <v>201</v>
      </c>
      <c r="J4" s="32" t="s">
        <v>202</v>
      </c>
    </row>
    <row r="5" customFormat="false" ht="23.85" hidden="false" customHeight="false" outlineLevel="0" collapsed="false">
      <c r="A5" s="35" t="n">
        <v>4</v>
      </c>
      <c r="B5" s="25" t="s">
        <v>203</v>
      </c>
      <c r="C5" s="26" t="s">
        <v>184</v>
      </c>
      <c r="D5" s="26" t="s">
        <v>204</v>
      </c>
      <c r="E5" s="26" t="s">
        <v>197</v>
      </c>
      <c r="F5" s="26" t="s">
        <v>205</v>
      </c>
      <c r="G5" s="26" t="s">
        <v>199</v>
      </c>
      <c r="H5" s="35" t="s">
        <v>200</v>
      </c>
      <c r="I5" s="36" t="s">
        <v>201</v>
      </c>
      <c r="J5" s="32" t="s">
        <v>202</v>
      </c>
    </row>
    <row r="6" customFormat="false" ht="23.85" hidden="false" customHeight="false" outlineLevel="0" collapsed="false">
      <c r="A6" s="35" t="n">
        <v>5</v>
      </c>
      <c r="B6" s="25" t="s">
        <v>206</v>
      </c>
      <c r="C6" s="26" t="s">
        <v>184</v>
      </c>
      <c r="D6" s="26" t="s">
        <v>207</v>
      </c>
      <c r="E6" s="26" t="s">
        <v>208</v>
      </c>
      <c r="F6" s="26" t="s">
        <v>209</v>
      </c>
      <c r="G6" s="26" t="s">
        <v>116</v>
      </c>
      <c r="H6" s="35" t="s">
        <v>200</v>
      </c>
      <c r="I6" s="36" t="s">
        <v>201</v>
      </c>
      <c r="J6" s="36" t="s">
        <v>210</v>
      </c>
    </row>
    <row r="7" customFormat="false" ht="23.85" hidden="false" customHeight="false" outlineLevel="0" collapsed="false">
      <c r="A7" s="35" t="n">
        <v>6</v>
      </c>
      <c r="B7" s="25" t="s">
        <v>211</v>
      </c>
      <c r="C7" s="26" t="s">
        <v>184</v>
      </c>
      <c r="D7" s="26" t="s">
        <v>212</v>
      </c>
      <c r="E7" s="26" t="s">
        <v>208</v>
      </c>
      <c r="F7" s="26" t="s">
        <v>213</v>
      </c>
      <c r="G7" s="26" t="s">
        <v>116</v>
      </c>
      <c r="H7" s="35" t="s">
        <v>200</v>
      </c>
      <c r="I7" s="36" t="s">
        <v>201</v>
      </c>
      <c r="J7" s="36" t="s">
        <v>210</v>
      </c>
    </row>
    <row r="8" customFormat="false" ht="23.85" hidden="false" customHeight="false" outlineLevel="0" collapsed="false">
      <c r="A8" s="35" t="n">
        <v>7</v>
      </c>
      <c r="B8" s="25" t="s">
        <v>214</v>
      </c>
      <c r="C8" s="26" t="s">
        <v>184</v>
      </c>
      <c r="D8" s="26" t="s">
        <v>215</v>
      </c>
      <c r="E8" s="26" t="s">
        <v>216</v>
      </c>
      <c r="F8" s="26" t="s">
        <v>217</v>
      </c>
      <c r="G8" s="26" t="s">
        <v>218</v>
      </c>
      <c r="H8" s="35" t="s">
        <v>200</v>
      </c>
      <c r="I8" s="36" t="s">
        <v>201</v>
      </c>
      <c r="J8" s="36" t="s">
        <v>210</v>
      </c>
    </row>
    <row r="9" customFormat="false" ht="23.85" hidden="false" customHeight="false" outlineLevel="0" collapsed="false">
      <c r="A9" s="35" t="n">
        <v>8</v>
      </c>
      <c r="B9" s="25" t="s">
        <v>219</v>
      </c>
      <c r="C9" s="26" t="s">
        <v>184</v>
      </c>
      <c r="D9" s="26" t="s">
        <v>220</v>
      </c>
      <c r="E9" s="26" t="s">
        <v>186</v>
      </c>
      <c r="F9" s="26" t="s">
        <v>221</v>
      </c>
      <c r="G9" s="26" t="s">
        <v>222</v>
      </c>
      <c r="H9" s="35" t="s">
        <v>223</v>
      </c>
      <c r="I9" s="36" t="s">
        <v>224</v>
      </c>
      <c r="J9" s="26" t="s">
        <v>191</v>
      </c>
    </row>
    <row r="10" customFormat="false" ht="23.85" hidden="false" customHeight="false" outlineLevel="0" collapsed="false">
      <c r="A10" s="35" t="n">
        <v>9</v>
      </c>
      <c r="B10" s="25" t="s">
        <v>225</v>
      </c>
      <c r="C10" s="26" t="s">
        <v>184</v>
      </c>
      <c r="D10" s="26" t="s">
        <v>226</v>
      </c>
      <c r="E10" s="26" t="s">
        <v>186</v>
      </c>
      <c r="F10" s="26" t="s">
        <v>227</v>
      </c>
      <c r="G10" s="26" t="s">
        <v>228</v>
      </c>
      <c r="H10" s="35" t="s">
        <v>223</v>
      </c>
      <c r="I10" s="36" t="s">
        <v>224</v>
      </c>
      <c r="J10" s="26" t="s">
        <v>191</v>
      </c>
    </row>
    <row r="11" customFormat="false" ht="35.05" hidden="false" customHeight="false" outlineLevel="0" collapsed="false">
      <c r="A11" s="35" t="n">
        <v>10</v>
      </c>
      <c r="B11" s="25" t="s">
        <v>229</v>
      </c>
      <c r="C11" s="26" t="s">
        <v>184</v>
      </c>
      <c r="D11" s="26" t="s">
        <v>230</v>
      </c>
      <c r="E11" s="26" t="s">
        <v>231</v>
      </c>
      <c r="F11" s="26" t="s">
        <v>232</v>
      </c>
      <c r="G11" s="26" t="s">
        <v>233</v>
      </c>
      <c r="H11" s="35" t="s">
        <v>200</v>
      </c>
      <c r="I11" s="36" t="s">
        <v>201</v>
      </c>
      <c r="J11" s="36" t="s">
        <v>210</v>
      </c>
    </row>
    <row r="12" customFormat="false" ht="23.85" hidden="false" customHeight="false" outlineLevel="0" collapsed="false">
      <c r="A12" s="35" t="n">
        <v>11</v>
      </c>
      <c r="B12" s="25" t="s">
        <v>234</v>
      </c>
      <c r="C12" s="26" t="s">
        <v>184</v>
      </c>
      <c r="D12" s="26" t="s">
        <v>235</v>
      </c>
      <c r="E12" s="26" t="s">
        <v>236</v>
      </c>
      <c r="F12" s="26" t="s">
        <v>237</v>
      </c>
      <c r="G12" s="26" t="s">
        <v>116</v>
      </c>
      <c r="H12" s="35" t="s">
        <v>200</v>
      </c>
      <c r="I12" s="36" t="s">
        <v>201</v>
      </c>
      <c r="J12" s="26" t="s">
        <v>191</v>
      </c>
    </row>
    <row r="13" customFormat="false" ht="46.25" hidden="false" customHeight="false" outlineLevel="0" collapsed="false">
      <c r="A13" s="37" t="n">
        <v>12</v>
      </c>
      <c r="B13" s="38" t="s">
        <v>238</v>
      </c>
      <c r="C13" s="38" t="s">
        <v>184</v>
      </c>
      <c r="D13" s="38" t="s">
        <v>239</v>
      </c>
      <c r="E13" s="38" t="s">
        <v>186</v>
      </c>
      <c r="F13" s="38" t="s">
        <v>240</v>
      </c>
      <c r="G13" s="38" t="s">
        <v>199</v>
      </c>
      <c r="H13" s="37" t="s">
        <v>223</v>
      </c>
      <c r="I13" s="38" t="s">
        <v>241</v>
      </c>
      <c r="J13" s="38" t="s">
        <v>242</v>
      </c>
    </row>
    <row r="14" customFormat="false" ht="35.05" hidden="false" customHeight="false" outlineLevel="0" collapsed="false">
      <c r="A14" s="35" t="n">
        <v>13</v>
      </c>
      <c r="B14" s="25" t="s">
        <v>243</v>
      </c>
      <c r="C14" s="26" t="s">
        <v>184</v>
      </c>
      <c r="D14" s="26" t="s">
        <v>244</v>
      </c>
      <c r="E14" s="26" t="s">
        <v>186</v>
      </c>
      <c r="F14" s="26" t="s">
        <v>245</v>
      </c>
      <c r="G14" s="26" t="s">
        <v>188</v>
      </c>
      <c r="H14" s="35" t="s">
        <v>223</v>
      </c>
      <c r="I14" s="36" t="s">
        <v>246</v>
      </c>
      <c r="J14" s="26" t="s">
        <v>191</v>
      </c>
    </row>
    <row r="15" customFormat="false" ht="23.85" hidden="false" customHeight="false" outlineLevel="0" collapsed="false">
      <c r="A15" s="35" t="n">
        <v>14</v>
      </c>
      <c r="B15" s="25" t="s">
        <v>247</v>
      </c>
      <c r="C15" s="26" t="s">
        <v>184</v>
      </c>
      <c r="D15" s="26" t="s">
        <v>248</v>
      </c>
      <c r="E15" s="26" t="s">
        <v>186</v>
      </c>
      <c r="F15" s="26" t="s">
        <v>249</v>
      </c>
      <c r="G15" s="26" t="s">
        <v>188</v>
      </c>
      <c r="H15" s="35" t="s">
        <v>223</v>
      </c>
      <c r="I15" s="32" t="s">
        <v>250</v>
      </c>
      <c r="J15" s="26" t="s">
        <v>191</v>
      </c>
    </row>
    <row r="16" customFormat="false" ht="23.85" hidden="false" customHeight="false" outlineLevel="0" collapsed="false">
      <c r="A16" s="35" t="n">
        <v>15</v>
      </c>
      <c r="B16" s="25" t="s">
        <v>251</v>
      </c>
      <c r="C16" s="26" t="s">
        <v>184</v>
      </c>
      <c r="D16" s="26" t="s">
        <v>252</v>
      </c>
      <c r="E16" s="26" t="s">
        <v>186</v>
      </c>
      <c r="F16" s="26" t="s">
        <v>253</v>
      </c>
      <c r="G16" s="26" t="s">
        <v>254</v>
      </c>
      <c r="H16" s="35" t="s">
        <v>223</v>
      </c>
      <c r="I16" s="36" t="s">
        <v>255</v>
      </c>
      <c r="J16" s="26" t="s">
        <v>191</v>
      </c>
    </row>
    <row r="17" customFormat="false" ht="15" hidden="false" customHeight="false" outlineLevel="0" collapsed="false">
      <c r="A17" s="35" t="n">
        <v>16</v>
      </c>
      <c r="B17" s="25" t="s">
        <v>256</v>
      </c>
      <c r="C17" s="26" t="s">
        <v>184</v>
      </c>
      <c r="D17" s="26" t="s">
        <v>257</v>
      </c>
      <c r="E17" s="26" t="s">
        <v>186</v>
      </c>
      <c r="F17" s="26" t="s">
        <v>258</v>
      </c>
      <c r="G17" s="26" t="s">
        <v>254</v>
      </c>
      <c r="H17" s="35" t="s">
        <v>223</v>
      </c>
      <c r="I17" s="36" t="s">
        <v>255</v>
      </c>
      <c r="J17" s="26" t="s">
        <v>191</v>
      </c>
    </row>
    <row r="18" customFormat="false" ht="23.85" hidden="false" customHeight="false" outlineLevel="0" collapsed="false">
      <c r="A18" s="35" t="n">
        <v>17</v>
      </c>
      <c r="B18" s="25" t="s">
        <v>259</v>
      </c>
      <c r="C18" s="26" t="s">
        <v>184</v>
      </c>
      <c r="D18" s="26" t="s">
        <v>260</v>
      </c>
      <c r="E18" s="26" t="s">
        <v>186</v>
      </c>
      <c r="F18" s="26" t="s">
        <v>261</v>
      </c>
      <c r="G18" s="26" t="s">
        <v>262</v>
      </c>
      <c r="H18" s="35" t="s">
        <v>223</v>
      </c>
      <c r="I18" s="26" t="s">
        <v>263</v>
      </c>
      <c r="J18" s="26" t="s">
        <v>191</v>
      </c>
    </row>
    <row r="19" customFormat="false" ht="23.85" hidden="false" customHeight="false" outlineLevel="0" collapsed="false">
      <c r="A19" s="35" t="n">
        <v>18</v>
      </c>
      <c r="B19" s="25" t="s">
        <v>264</v>
      </c>
      <c r="C19" s="26" t="s">
        <v>265</v>
      </c>
      <c r="D19" s="26" t="s">
        <v>266</v>
      </c>
      <c r="E19" s="26" t="s">
        <v>267</v>
      </c>
      <c r="F19" s="26" t="s">
        <v>268</v>
      </c>
      <c r="G19" s="26" t="s">
        <v>199</v>
      </c>
      <c r="H19" s="35" t="s">
        <v>223</v>
      </c>
      <c r="I19" s="26" t="s">
        <v>269</v>
      </c>
      <c r="J19" s="26" t="s">
        <v>191</v>
      </c>
    </row>
    <row r="20" customFormat="false" ht="35.05" hidden="false" customHeight="false" outlineLevel="0" collapsed="false">
      <c r="A20" s="35" t="n">
        <v>19</v>
      </c>
      <c r="B20" s="25" t="s">
        <v>270</v>
      </c>
      <c r="C20" s="26" t="s">
        <v>265</v>
      </c>
      <c r="D20" s="26" t="s">
        <v>271</v>
      </c>
      <c r="E20" s="26" t="s">
        <v>272</v>
      </c>
      <c r="F20" s="26" t="s">
        <v>273</v>
      </c>
      <c r="G20" s="26" t="s">
        <v>199</v>
      </c>
      <c r="H20" s="35" t="s">
        <v>223</v>
      </c>
      <c r="I20" s="36" t="s">
        <v>274</v>
      </c>
      <c r="J20" s="36" t="s">
        <v>210</v>
      </c>
    </row>
    <row r="21" customFormat="false" ht="35.05" hidden="false" customHeight="false" outlineLevel="0" collapsed="false">
      <c r="A21" s="35" t="n">
        <v>20</v>
      </c>
      <c r="B21" s="25" t="s">
        <v>275</v>
      </c>
      <c r="C21" s="26" t="s">
        <v>265</v>
      </c>
      <c r="D21" s="26" t="s">
        <v>276</v>
      </c>
      <c r="E21" s="26" t="s">
        <v>186</v>
      </c>
      <c r="F21" s="26" t="s">
        <v>277</v>
      </c>
      <c r="G21" s="26" t="s">
        <v>278</v>
      </c>
      <c r="H21" s="35" t="s">
        <v>223</v>
      </c>
      <c r="I21" s="36" t="s">
        <v>279</v>
      </c>
      <c r="J21" s="26" t="s">
        <v>191</v>
      </c>
    </row>
    <row r="22" customFormat="false" ht="23.85" hidden="false" customHeight="false" outlineLevel="0" collapsed="false">
      <c r="A22" s="35" t="n">
        <v>21</v>
      </c>
      <c r="B22" s="25" t="s">
        <v>280</v>
      </c>
      <c r="C22" s="26" t="s">
        <v>281</v>
      </c>
      <c r="D22" s="26" t="s">
        <v>282</v>
      </c>
      <c r="E22" s="26" t="s">
        <v>283</v>
      </c>
      <c r="F22" s="26" t="s">
        <v>284</v>
      </c>
      <c r="G22" s="26" t="s">
        <v>233</v>
      </c>
      <c r="H22" s="35" t="s">
        <v>200</v>
      </c>
      <c r="I22" s="36" t="s">
        <v>201</v>
      </c>
      <c r="J22" s="36" t="s">
        <v>210</v>
      </c>
    </row>
    <row r="23" customFormat="false" ht="35.05" hidden="false" customHeight="false" outlineLevel="0" collapsed="false">
      <c r="A23" s="35" t="n">
        <v>22</v>
      </c>
      <c r="B23" s="25" t="s">
        <v>285</v>
      </c>
      <c r="C23" s="26" t="s">
        <v>265</v>
      </c>
      <c r="D23" s="26" t="s">
        <v>286</v>
      </c>
      <c r="E23" s="26" t="s">
        <v>186</v>
      </c>
      <c r="F23" s="26" t="s">
        <v>287</v>
      </c>
      <c r="G23" s="26" t="s">
        <v>188</v>
      </c>
      <c r="H23" s="35" t="s">
        <v>288</v>
      </c>
      <c r="I23" s="26" t="s">
        <v>289</v>
      </c>
      <c r="J23" s="26" t="s">
        <v>191</v>
      </c>
    </row>
    <row r="24" customFormat="false" ht="35.05" hidden="false" customHeight="false" outlineLevel="0" collapsed="false">
      <c r="A24" s="35" t="n">
        <v>23</v>
      </c>
      <c r="B24" s="25" t="s">
        <v>290</v>
      </c>
      <c r="C24" s="26" t="s">
        <v>265</v>
      </c>
      <c r="D24" s="26" t="s">
        <v>291</v>
      </c>
      <c r="E24" s="26" t="s">
        <v>186</v>
      </c>
      <c r="F24" s="26" t="s">
        <v>292</v>
      </c>
      <c r="G24" s="26" t="s">
        <v>293</v>
      </c>
      <c r="H24" s="35" t="s">
        <v>288</v>
      </c>
      <c r="I24" s="26" t="s">
        <v>289</v>
      </c>
      <c r="J24" s="26" t="s">
        <v>191</v>
      </c>
    </row>
    <row r="25" customFormat="false" ht="23.85" hidden="false" customHeight="false" outlineLevel="0" collapsed="false">
      <c r="A25" s="35" t="n">
        <v>24</v>
      </c>
      <c r="B25" s="25" t="s">
        <v>294</v>
      </c>
      <c r="C25" s="26" t="s">
        <v>265</v>
      </c>
      <c r="D25" s="26" t="s">
        <v>295</v>
      </c>
      <c r="E25" s="26" t="s">
        <v>186</v>
      </c>
      <c r="F25" s="26" t="s">
        <v>296</v>
      </c>
      <c r="G25" s="26" t="s">
        <v>297</v>
      </c>
      <c r="H25" s="35" t="s">
        <v>288</v>
      </c>
      <c r="I25" s="26" t="s">
        <v>289</v>
      </c>
      <c r="J25" s="26" t="s">
        <v>191</v>
      </c>
    </row>
    <row r="26" customFormat="false" ht="23.85" hidden="false" customHeight="false" outlineLevel="0" collapsed="false">
      <c r="A26" s="35" t="n">
        <v>25</v>
      </c>
      <c r="B26" s="25" t="s">
        <v>298</v>
      </c>
      <c r="C26" s="26" t="s">
        <v>265</v>
      </c>
      <c r="D26" s="26" t="s">
        <v>299</v>
      </c>
      <c r="E26" s="26" t="s">
        <v>186</v>
      </c>
      <c r="F26" s="26" t="s">
        <v>300</v>
      </c>
      <c r="G26" s="26" t="s">
        <v>228</v>
      </c>
      <c r="H26" s="35" t="s">
        <v>288</v>
      </c>
      <c r="I26" s="26" t="s">
        <v>289</v>
      </c>
      <c r="J26" s="26" t="s">
        <v>191</v>
      </c>
    </row>
    <row r="28" customFormat="false" ht="25.5" hidden="false" customHeight="true" outlineLevel="0" collapsed="false">
      <c r="A28" s="19" t="s">
        <v>301</v>
      </c>
      <c r="B28" s="19"/>
      <c r="C28" s="19"/>
      <c r="D28" s="19"/>
      <c r="E28" s="19"/>
      <c r="F28" s="19"/>
      <c r="G28" s="19"/>
      <c r="H28" s="19"/>
      <c r="I28" s="19"/>
      <c r="J28" s="19"/>
    </row>
    <row r="29" customFormat="false" ht="25.5" hidden="false" customHeight="true" outlineLevel="0" collapsed="false">
      <c r="A29" s="19" t="s">
        <v>302</v>
      </c>
      <c r="B29" s="19"/>
      <c r="C29" s="19"/>
      <c r="D29" s="19"/>
      <c r="E29" s="19"/>
      <c r="F29" s="19"/>
      <c r="G29" s="19"/>
      <c r="H29" s="19"/>
      <c r="I29" s="19"/>
      <c r="J29" s="19"/>
    </row>
    <row r="30" customFormat="false" ht="25.5" hidden="false" customHeight="true" outlineLevel="0" collapsed="false">
      <c r="A30" s="19" t="s">
        <v>303</v>
      </c>
      <c r="B30" s="19"/>
      <c r="C30" s="19"/>
      <c r="D30" s="19"/>
      <c r="E30" s="19"/>
      <c r="F30" s="19"/>
      <c r="G30" s="19"/>
      <c r="H30" s="19"/>
      <c r="I30" s="19"/>
      <c r="J30" s="19"/>
    </row>
    <row r="31" customFormat="false" ht="25.5" hidden="false" customHeight="true" outlineLevel="0" collapsed="false">
      <c r="A31" s="19" t="s">
        <v>304</v>
      </c>
      <c r="B31" s="19"/>
      <c r="C31" s="19"/>
      <c r="D31" s="19"/>
      <c r="E31" s="19"/>
      <c r="F31" s="19"/>
      <c r="G31" s="19"/>
      <c r="H31" s="19"/>
      <c r="I31" s="19"/>
      <c r="J31" s="19"/>
    </row>
  </sheetData>
  <autoFilter ref="A1:J26"/>
  <mergeCells count="4">
    <mergeCell ref="A28:J28"/>
    <mergeCell ref="A29:J29"/>
    <mergeCell ref="A30:J30"/>
    <mergeCell ref="A31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18" min="3" style="0" width="13"/>
    <col collapsed="false" customWidth="true" hidden="false" outlineLevel="0" max="19" min="19" style="0" width="22"/>
    <col collapsed="false" customWidth="true" hidden="false" outlineLevel="0" max="27" min="20" style="0" width="13"/>
  </cols>
  <sheetData>
    <row r="1" customFormat="false" ht="66" hidden="false" customHeight="true" outlineLevel="0" collapsed="false">
      <c r="A1" s="1" t="s">
        <v>0</v>
      </c>
      <c r="B1" s="1" t="s">
        <v>1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  <c r="N1" s="1" t="s">
        <v>316</v>
      </c>
      <c r="O1" s="1" t="s">
        <v>317</v>
      </c>
      <c r="P1" s="1" t="s">
        <v>318</v>
      </c>
      <c r="Q1" s="1" t="s">
        <v>319</v>
      </c>
      <c r="R1" s="1" t="s">
        <v>320</v>
      </c>
      <c r="S1" s="1" t="s">
        <v>321</v>
      </c>
      <c r="T1" s="1" t="s">
        <v>322</v>
      </c>
      <c r="U1" s="1" t="s">
        <v>323</v>
      </c>
      <c r="V1" s="1" t="s">
        <v>324</v>
      </c>
      <c r="W1" s="1" t="s">
        <v>325</v>
      </c>
      <c r="X1" s="1" t="s">
        <v>326</v>
      </c>
      <c r="Y1" s="1" t="s">
        <v>327</v>
      </c>
      <c r="Z1" s="1" t="s">
        <v>328</v>
      </c>
      <c r="AA1" s="1" t="s">
        <v>329</v>
      </c>
    </row>
    <row r="2" customFormat="false" ht="15" hidden="false" customHeight="false" outlineLevel="0" collapsed="false">
      <c r="A2" s="2" t="s">
        <v>18</v>
      </c>
      <c r="B2" s="3" t="s">
        <v>19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1</v>
      </c>
      <c r="H2" s="3" t="n">
        <v>1</v>
      </c>
      <c r="I2" s="3" t="s">
        <v>218</v>
      </c>
      <c r="J2" s="3" t="n">
        <v>1000</v>
      </c>
      <c r="K2" s="3" t="n">
        <v>30</v>
      </c>
      <c r="L2" s="3" t="s">
        <v>330</v>
      </c>
      <c r="M2" s="3" t="n">
        <v>1</v>
      </c>
      <c r="N2" s="3" t="n">
        <v>0</v>
      </c>
      <c r="O2" s="3" t="n">
        <v>0</v>
      </c>
      <c r="P2" s="3" t="n">
        <v>0</v>
      </c>
      <c r="Q2" s="3" t="n">
        <v>-1</v>
      </c>
      <c r="R2" s="3" t="n">
        <v>-1</v>
      </c>
      <c r="S2" s="3" t="s">
        <v>262</v>
      </c>
      <c r="T2" s="3" t="n">
        <v>0</v>
      </c>
      <c r="U2" s="3" t="n">
        <v>0</v>
      </c>
      <c r="V2" s="3" t="n">
        <v>5</v>
      </c>
      <c r="W2" s="3" t="s">
        <v>330</v>
      </c>
      <c r="X2" s="4" t="s">
        <v>22</v>
      </c>
      <c r="Y2" s="4" t="s">
        <v>22</v>
      </c>
      <c r="Z2" s="4" t="s">
        <v>22</v>
      </c>
      <c r="AA2" s="4" t="s">
        <v>22</v>
      </c>
    </row>
    <row r="3" customFormat="false" ht="15" hidden="false" customHeight="false" outlineLevel="0" collapsed="false">
      <c r="A3" s="2" t="s">
        <v>24</v>
      </c>
      <c r="B3" s="3" t="s">
        <v>19</v>
      </c>
      <c r="C3" s="4" t="s">
        <v>22</v>
      </c>
      <c r="D3" s="4" t="s">
        <v>22</v>
      </c>
      <c r="E3" s="3" t="n">
        <v>0</v>
      </c>
      <c r="F3" s="3" t="n">
        <v>0</v>
      </c>
      <c r="G3" s="3" t="n">
        <v>1</v>
      </c>
      <c r="H3" s="3" t="n">
        <v>1</v>
      </c>
      <c r="I3" s="3" t="s">
        <v>218</v>
      </c>
      <c r="J3" s="3" t="n">
        <v>1000</v>
      </c>
      <c r="K3" s="3" t="n">
        <v>30</v>
      </c>
      <c r="L3" s="3" t="s">
        <v>218</v>
      </c>
      <c r="M3" s="3" t="n">
        <v>1</v>
      </c>
      <c r="N3" s="3" t="n">
        <v>0</v>
      </c>
      <c r="O3" s="3" t="n">
        <v>0</v>
      </c>
      <c r="P3" s="3" t="n">
        <v>0</v>
      </c>
      <c r="Q3" s="3" t="n">
        <v>-1</v>
      </c>
      <c r="R3" s="3" t="n">
        <v>-1</v>
      </c>
      <c r="S3" s="3" t="s">
        <v>262</v>
      </c>
      <c r="T3" s="3" t="n">
        <v>1</v>
      </c>
      <c r="U3" s="3" t="n">
        <v>1</v>
      </c>
      <c r="V3" s="3" t="n">
        <v>60</v>
      </c>
      <c r="W3" s="3" t="s">
        <v>330</v>
      </c>
      <c r="X3" s="3" t="n">
        <v>0</v>
      </c>
      <c r="Y3" s="3" t="n">
        <v>20</v>
      </c>
      <c r="Z3" s="3" t="n">
        <v>40</v>
      </c>
      <c r="AA3" s="3" t="n">
        <v>30</v>
      </c>
    </row>
    <row r="4" customFormat="false" ht="15" hidden="false" customHeight="false" outlineLevel="0" collapsed="false">
      <c r="A4" s="2" t="s">
        <v>26</v>
      </c>
      <c r="B4" s="3" t="s">
        <v>19</v>
      </c>
      <c r="C4" s="4" t="s">
        <v>22</v>
      </c>
      <c r="D4" s="4" t="s">
        <v>22</v>
      </c>
      <c r="E4" s="3" t="n">
        <v>0</v>
      </c>
      <c r="F4" s="3" t="n">
        <v>0</v>
      </c>
      <c r="G4" s="3" t="n">
        <v>1</v>
      </c>
      <c r="H4" s="3" t="n">
        <v>1</v>
      </c>
      <c r="I4" s="3" t="s">
        <v>218</v>
      </c>
      <c r="J4" s="3" t="n">
        <v>1000</v>
      </c>
      <c r="K4" s="3" t="n">
        <v>30</v>
      </c>
      <c r="L4" s="3" t="s">
        <v>218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-1</v>
      </c>
      <c r="R4" s="3" t="n">
        <v>-1</v>
      </c>
      <c r="S4" s="3" t="s">
        <v>262</v>
      </c>
      <c r="T4" s="3" t="n">
        <v>1</v>
      </c>
      <c r="U4" s="3" t="n">
        <v>1</v>
      </c>
      <c r="V4" s="3" t="n">
        <v>60</v>
      </c>
      <c r="W4" s="3" t="s">
        <v>330</v>
      </c>
      <c r="X4" s="3" t="n">
        <v>0</v>
      </c>
      <c r="Y4" s="3" t="n">
        <v>20</v>
      </c>
      <c r="Z4" s="3" t="n">
        <v>40</v>
      </c>
      <c r="AA4" s="3" t="n">
        <v>30</v>
      </c>
    </row>
    <row r="5" customFormat="false" ht="15" hidden="false" customHeight="false" outlineLevel="0" collapsed="false">
      <c r="A5" s="2" t="s">
        <v>27</v>
      </c>
      <c r="B5" s="3" t="s">
        <v>19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</v>
      </c>
      <c r="H5" s="3" t="n">
        <v>1</v>
      </c>
      <c r="I5" s="3" t="s">
        <v>218</v>
      </c>
      <c r="J5" s="3" t="n">
        <v>1000</v>
      </c>
      <c r="K5" s="3" t="n">
        <v>30</v>
      </c>
      <c r="L5" s="3" t="s">
        <v>330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-1</v>
      </c>
      <c r="R5" s="3" t="n">
        <v>-1</v>
      </c>
      <c r="S5" s="3" t="s">
        <v>262</v>
      </c>
      <c r="T5" s="3" t="n">
        <v>0</v>
      </c>
      <c r="U5" s="3" t="n">
        <v>0</v>
      </c>
      <c r="V5" s="3" t="n">
        <v>5</v>
      </c>
      <c r="W5" s="3" t="s">
        <v>330</v>
      </c>
      <c r="X5" s="4" t="s">
        <v>22</v>
      </c>
      <c r="Y5" s="4" t="s">
        <v>22</v>
      </c>
      <c r="Z5" s="4" t="s">
        <v>22</v>
      </c>
      <c r="AA5" s="4" t="s">
        <v>22</v>
      </c>
    </row>
    <row r="6" customFormat="false" ht="15" hidden="false" customHeight="false" outlineLevel="0" collapsed="false">
      <c r="A6" s="2" t="s">
        <v>28</v>
      </c>
      <c r="B6" s="3" t="s">
        <v>19</v>
      </c>
      <c r="C6" s="4" t="s">
        <v>22</v>
      </c>
      <c r="D6" s="4" t="s">
        <v>22</v>
      </c>
      <c r="E6" s="3" t="n">
        <v>0</v>
      </c>
      <c r="F6" s="3" t="n">
        <v>0</v>
      </c>
      <c r="G6" s="3" t="n">
        <v>1</v>
      </c>
      <c r="H6" s="3" t="n">
        <v>1</v>
      </c>
      <c r="I6" s="3" t="s">
        <v>218</v>
      </c>
      <c r="J6" s="3" t="n">
        <v>1000</v>
      </c>
      <c r="K6" s="3" t="n">
        <v>30</v>
      </c>
      <c r="L6" s="3" t="s">
        <v>218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-1</v>
      </c>
      <c r="R6" s="3" t="n">
        <v>-1</v>
      </c>
      <c r="S6" s="3" t="s">
        <v>262</v>
      </c>
      <c r="T6" s="3" t="n">
        <v>1</v>
      </c>
      <c r="U6" s="3" t="n">
        <v>1</v>
      </c>
      <c r="V6" s="3" t="n">
        <v>60</v>
      </c>
      <c r="W6" s="3" t="s">
        <v>330</v>
      </c>
      <c r="X6" s="3" t="n">
        <v>0</v>
      </c>
      <c r="Y6" s="3" t="n">
        <v>20</v>
      </c>
      <c r="Z6" s="3" t="n">
        <v>40</v>
      </c>
      <c r="AA6" s="3" t="n">
        <v>30</v>
      </c>
    </row>
    <row r="7" customFormat="false" ht="15" hidden="false" customHeight="false" outlineLevel="0" collapsed="false">
      <c r="A7" s="2" t="s">
        <v>29</v>
      </c>
      <c r="B7" s="3" t="s">
        <v>19</v>
      </c>
      <c r="C7" s="4" t="s">
        <v>22</v>
      </c>
      <c r="D7" s="4" t="s">
        <v>22</v>
      </c>
      <c r="E7" s="3" t="n">
        <v>0</v>
      </c>
      <c r="F7" s="3" t="n">
        <v>0</v>
      </c>
      <c r="G7" s="3" t="n">
        <v>1</v>
      </c>
      <c r="H7" s="3" t="n">
        <v>1</v>
      </c>
      <c r="I7" s="3" t="s">
        <v>218</v>
      </c>
      <c r="J7" s="3" t="n">
        <v>1000</v>
      </c>
      <c r="K7" s="3" t="n">
        <v>30</v>
      </c>
      <c r="L7" s="3" t="s">
        <v>330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-1</v>
      </c>
      <c r="R7" s="3" t="n">
        <v>-1</v>
      </c>
      <c r="S7" s="3" t="s">
        <v>262</v>
      </c>
      <c r="T7" s="3" t="n">
        <v>0</v>
      </c>
      <c r="U7" s="3" t="n">
        <v>0</v>
      </c>
      <c r="V7" s="3" t="n">
        <v>60</v>
      </c>
      <c r="W7" s="3" t="s">
        <v>330</v>
      </c>
      <c r="X7" s="4" t="s">
        <v>22</v>
      </c>
      <c r="Y7" s="4" t="s">
        <v>22</v>
      </c>
      <c r="Z7" s="4" t="s">
        <v>22</v>
      </c>
      <c r="AA7" s="4" t="s">
        <v>22</v>
      </c>
    </row>
    <row r="8" customFormat="false" ht="15" hidden="false" customHeight="false" outlineLevel="0" collapsed="false">
      <c r="A8" s="2" t="s">
        <v>30</v>
      </c>
      <c r="B8" s="3" t="s">
        <v>19</v>
      </c>
      <c r="C8" s="4" t="s">
        <v>22</v>
      </c>
      <c r="D8" s="4" t="s">
        <v>22</v>
      </c>
      <c r="E8" s="3" t="n">
        <v>0</v>
      </c>
      <c r="F8" s="3" t="n">
        <v>0</v>
      </c>
      <c r="G8" s="3" t="n">
        <v>1</v>
      </c>
      <c r="H8" s="3" t="n">
        <v>1</v>
      </c>
      <c r="I8" s="3" t="s">
        <v>218</v>
      </c>
      <c r="J8" s="3" t="n">
        <v>1000</v>
      </c>
      <c r="K8" s="3" t="n">
        <v>30</v>
      </c>
      <c r="L8" s="3" t="s">
        <v>330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-1</v>
      </c>
      <c r="R8" s="3" t="n">
        <v>-1</v>
      </c>
      <c r="S8" s="3" t="s">
        <v>262</v>
      </c>
      <c r="T8" s="3" t="n">
        <v>0</v>
      </c>
      <c r="U8" s="3" t="n">
        <v>0</v>
      </c>
      <c r="V8" s="3" t="n">
        <v>60</v>
      </c>
      <c r="W8" s="3" t="s">
        <v>330</v>
      </c>
      <c r="X8" s="4" t="s">
        <v>22</v>
      </c>
      <c r="Y8" s="4" t="s">
        <v>22</v>
      </c>
      <c r="Z8" s="4" t="s">
        <v>22</v>
      </c>
      <c r="AA8" s="4" t="s">
        <v>22</v>
      </c>
    </row>
    <row r="9" customFormat="false" ht="15" hidden="false" customHeight="false" outlineLevel="0" collapsed="false">
      <c r="A9" s="2" t="s">
        <v>31</v>
      </c>
      <c r="B9" s="3" t="s">
        <v>19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1</v>
      </c>
      <c r="I9" s="3" t="s">
        <v>218</v>
      </c>
      <c r="J9" s="3" t="n">
        <v>1000</v>
      </c>
      <c r="K9" s="3" t="n">
        <v>30</v>
      </c>
      <c r="L9" s="3" t="s">
        <v>330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-1</v>
      </c>
      <c r="R9" s="3" t="n">
        <v>-1</v>
      </c>
      <c r="S9" s="3" t="s">
        <v>262</v>
      </c>
      <c r="T9" s="3" t="n">
        <v>0</v>
      </c>
      <c r="U9" s="3" t="n">
        <v>0</v>
      </c>
      <c r="V9" s="3" t="n">
        <v>60</v>
      </c>
      <c r="W9" s="3" t="s">
        <v>330</v>
      </c>
      <c r="X9" s="4" t="s">
        <v>22</v>
      </c>
      <c r="Y9" s="4" t="s">
        <v>22</v>
      </c>
      <c r="Z9" s="4" t="s">
        <v>22</v>
      </c>
      <c r="AA9" s="4" t="s">
        <v>22</v>
      </c>
    </row>
    <row r="10" customFormat="false" ht="15" hidden="false" customHeight="false" outlineLevel="0" collapsed="false">
      <c r="A10" s="2" t="s">
        <v>32</v>
      </c>
      <c r="B10" s="3" t="s">
        <v>19</v>
      </c>
      <c r="C10" s="4" t="s">
        <v>22</v>
      </c>
      <c r="D10" s="4" t="s">
        <v>22</v>
      </c>
      <c r="E10" s="3" t="n">
        <v>0</v>
      </c>
      <c r="F10" s="3" t="n">
        <v>0</v>
      </c>
      <c r="G10" s="3" t="n">
        <v>1</v>
      </c>
      <c r="H10" s="3" t="n">
        <v>1</v>
      </c>
      <c r="I10" s="3" t="s">
        <v>218</v>
      </c>
      <c r="J10" s="3" t="n">
        <v>1000</v>
      </c>
      <c r="K10" s="3" t="n">
        <v>30</v>
      </c>
      <c r="L10" s="3" t="s">
        <v>330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-1</v>
      </c>
      <c r="R10" s="3" t="n">
        <v>-1</v>
      </c>
      <c r="S10" s="3" t="s">
        <v>262</v>
      </c>
      <c r="T10" s="3" t="n">
        <v>0</v>
      </c>
      <c r="U10" s="3" t="n">
        <v>0</v>
      </c>
      <c r="V10" s="3" t="n">
        <v>60</v>
      </c>
      <c r="W10" s="3" t="s">
        <v>330</v>
      </c>
      <c r="X10" s="4" t="s">
        <v>22</v>
      </c>
      <c r="Y10" s="4" t="s">
        <v>22</v>
      </c>
      <c r="Z10" s="4" t="s">
        <v>22</v>
      </c>
      <c r="AA10" s="4" t="s">
        <v>22</v>
      </c>
    </row>
    <row r="11" customFormat="false" ht="15" hidden="false" customHeight="false" outlineLevel="0" collapsed="false">
      <c r="A11" s="2" t="s">
        <v>33</v>
      </c>
      <c r="B11" s="3" t="s">
        <v>19</v>
      </c>
      <c r="C11" s="4" t="s">
        <v>22</v>
      </c>
      <c r="D11" s="4" t="s">
        <v>22</v>
      </c>
      <c r="E11" s="3" t="n">
        <v>0</v>
      </c>
      <c r="F11" s="3" t="n">
        <v>0</v>
      </c>
      <c r="G11" s="3" t="n">
        <v>1</v>
      </c>
      <c r="H11" s="3" t="n">
        <v>1</v>
      </c>
      <c r="I11" s="3" t="s">
        <v>218</v>
      </c>
      <c r="J11" s="3" t="n">
        <v>1000</v>
      </c>
      <c r="K11" s="3" t="n">
        <v>30</v>
      </c>
      <c r="L11" s="3" t="s">
        <v>218</v>
      </c>
      <c r="M11" s="3" t="n">
        <v>1</v>
      </c>
      <c r="N11" s="3" t="n">
        <v>0</v>
      </c>
      <c r="O11" s="3" t="n">
        <v>0</v>
      </c>
      <c r="P11" s="3" t="n">
        <v>0</v>
      </c>
      <c r="Q11" s="3" t="n">
        <v>-1</v>
      </c>
      <c r="R11" s="3" t="n">
        <v>-1</v>
      </c>
      <c r="S11" s="3" t="s">
        <v>262</v>
      </c>
      <c r="T11" s="3" t="n">
        <v>0</v>
      </c>
      <c r="U11" s="3" t="n">
        <v>0</v>
      </c>
      <c r="V11" s="3" t="n">
        <v>60</v>
      </c>
      <c r="W11" s="3" t="s">
        <v>218</v>
      </c>
      <c r="X11" s="4" t="s">
        <v>22</v>
      </c>
      <c r="Y11" s="4" t="s">
        <v>22</v>
      </c>
      <c r="Z11" s="4" t="s">
        <v>22</v>
      </c>
      <c r="AA11" s="4" t="s">
        <v>22</v>
      </c>
    </row>
    <row r="12" customFormat="false" ht="15" hidden="false" customHeight="false" outlineLevel="0" collapsed="false">
      <c r="A12" s="2" t="s">
        <v>34</v>
      </c>
      <c r="B12" s="3" t="s">
        <v>19</v>
      </c>
      <c r="C12" s="4" t="s">
        <v>22</v>
      </c>
      <c r="D12" s="4" t="s">
        <v>22</v>
      </c>
      <c r="E12" s="3" t="n">
        <v>0</v>
      </c>
      <c r="F12" s="3" t="n">
        <v>0</v>
      </c>
      <c r="G12" s="3" t="n">
        <v>1</v>
      </c>
      <c r="H12" s="3" t="n">
        <v>1</v>
      </c>
      <c r="I12" s="3" t="s">
        <v>218</v>
      </c>
      <c r="J12" s="3" t="n">
        <v>1000</v>
      </c>
      <c r="K12" s="3" t="n">
        <v>30</v>
      </c>
      <c r="L12" s="3" t="s">
        <v>218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-1</v>
      </c>
      <c r="R12" s="3" t="n">
        <v>-1</v>
      </c>
      <c r="S12" s="3" t="s">
        <v>262</v>
      </c>
      <c r="T12" s="3" t="n">
        <v>0</v>
      </c>
      <c r="U12" s="3" t="n">
        <v>0</v>
      </c>
      <c r="V12" s="3" t="n">
        <v>60</v>
      </c>
      <c r="W12" s="3" t="s">
        <v>218</v>
      </c>
      <c r="X12" s="4" t="s">
        <v>22</v>
      </c>
      <c r="Y12" s="4" t="s">
        <v>22</v>
      </c>
      <c r="Z12" s="4" t="s">
        <v>22</v>
      </c>
      <c r="AA12" s="4" t="s">
        <v>22</v>
      </c>
    </row>
    <row r="13" customFormat="false" ht="15" hidden="false" customHeight="false" outlineLevel="0" collapsed="false">
      <c r="A13" s="2" t="s">
        <v>35</v>
      </c>
      <c r="B13" s="3" t="s">
        <v>19</v>
      </c>
      <c r="C13" s="4" t="s">
        <v>22</v>
      </c>
      <c r="D13" s="4" t="s">
        <v>22</v>
      </c>
      <c r="E13" s="3" t="n">
        <v>0</v>
      </c>
      <c r="F13" s="3" t="n">
        <v>0</v>
      </c>
      <c r="G13" s="3" t="n">
        <v>1</v>
      </c>
      <c r="H13" s="3" t="n">
        <v>1</v>
      </c>
      <c r="I13" s="3" t="s">
        <v>218</v>
      </c>
      <c r="J13" s="3" t="n">
        <v>1000</v>
      </c>
      <c r="K13" s="3" t="n">
        <v>30</v>
      </c>
      <c r="L13" s="3" t="s">
        <v>218</v>
      </c>
      <c r="M13" s="3" t="n">
        <v>1</v>
      </c>
      <c r="N13" s="3" t="n">
        <v>1</v>
      </c>
      <c r="O13" s="3" t="n">
        <v>0</v>
      </c>
      <c r="P13" s="3" t="n">
        <v>0</v>
      </c>
      <c r="Q13" s="3" t="n">
        <v>-1</v>
      </c>
      <c r="R13" s="3" t="n">
        <v>-1</v>
      </c>
      <c r="S13" s="3" t="s">
        <v>262</v>
      </c>
      <c r="T13" s="3" t="n">
        <v>0</v>
      </c>
      <c r="U13" s="3" t="n">
        <v>0</v>
      </c>
      <c r="V13" s="3" t="n">
        <v>60</v>
      </c>
      <c r="W13" s="3" t="s">
        <v>218</v>
      </c>
      <c r="X13" s="4" t="s">
        <v>22</v>
      </c>
      <c r="Y13" s="4" t="s">
        <v>22</v>
      </c>
      <c r="Z13" s="4" t="s">
        <v>22</v>
      </c>
      <c r="AA13" s="4" t="s">
        <v>22</v>
      </c>
    </row>
    <row r="14" customFormat="false" ht="15" hidden="false" customHeight="false" outlineLevel="0" collapsed="false">
      <c r="A14" s="2" t="s">
        <v>36</v>
      </c>
      <c r="B14" s="3" t="s">
        <v>19</v>
      </c>
      <c r="C14" s="4" t="s">
        <v>22</v>
      </c>
      <c r="D14" s="4" t="s">
        <v>22</v>
      </c>
      <c r="E14" s="3" t="n">
        <v>1</v>
      </c>
      <c r="F14" s="3" t="n">
        <v>1</v>
      </c>
      <c r="G14" s="3" t="n">
        <v>1</v>
      </c>
      <c r="H14" s="3" t="n">
        <v>1</v>
      </c>
      <c r="I14" s="3" t="s">
        <v>218</v>
      </c>
      <c r="J14" s="3" t="n">
        <v>1000</v>
      </c>
      <c r="K14" s="3" t="n">
        <v>30</v>
      </c>
      <c r="L14" s="3" t="s">
        <v>218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-1</v>
      </c>
      <c r="R14" s="3" t="n">
        <v>-1</v>
      </c>
      <c r="S14" s="3" t="s">
        <v>262</v>
      </c>
      <c r="T14" s="3" t="n">
        <v>1</v>
      </c>
      <c r="U14" s="3" t="n">
        <v>1</v>
      </c>
      <c r="V14" s="3" t="n">
        <v>60</v>
      </c>
      <c r="W14" s="3" t="s">
        <v>218</v>
      </c>
      <c r="X14" s="3" t="n">
        <v>0</v>
      </c>
      <c r="Y14" s="3" t="n">
        <v>20</v>
      </c>
      <c r="Z14" s="3" t="n">
        <v>40</v>
      </c>
      <c r="AA14" s="3" t="n">
        <v>30</v>
      </c>
    </row>
    <row r="15" customFormat="false" ht="15" hidden="false" customHeight="false" outlineLevel="0" collapsed="false">
      <c r="A15" s="2" t="s">
        <v>37</v>
      </c>
      <c r="B15" s="3" t="s">
        <v>19</v>
      </c>
      <c r="C15" s="4" t="s">
        <v>22</v>
      </c>
      <c r="D15" s="4" t="s">
        <v>22</v>
      </c>
      <c r="E15" s="3" t="n">
        <v>0</v>
      </c>
      <c r="F15" s="3" t="n">
        <v>0</v>
      </c>
      <c r="G15" s="3" t="n">
        <v>1</v>
      </c>
      <c r="H15" s="3" t="n">
        <v>1</v>
      </c>
      <c r="I15" s="3" t="s">
        <v>218</v>
      </c>
      <c r="J15" s="3" t="n">
        <v>1000</v>
      </c>
      <c r="K15" s="3" t="n">
        <v>30</v>
      </c>
      <c r="L15" s="3" t="s">
        <v>218</v>
      </c>
      <c r="M15" s="3" t="n">
        <v>1</v>
      </c>
      <c r="N15" s="3" t="n">
        <v>0</v>
      </c>
      <c r="O15" s="3" t="n">
        <v>0</v>
      </c>
      <c r="P15" s="3" t="n">
        <v>0</v>
      </c>
      <c r="Q15" s="3" t="n">
        <v>-1</v>
      </c>
      <c r="R15" s="3" t="n">
        <v>-1</v>
      </c>
      <c r="S15" s="3" t="s">
        <v>262</v>
      </c>
      <c r="T15" s="3" t="n">
        <v>1</v>
      </c>
      <c r="U15" s="3" t="n">
        <v>1</v>
      </c>
      <c r="V15" s="3" t="n">
        <v>60</v>
      </c>
      <c r="W15" s="3" t="s">
        <v>218</v>
      </c>
      <c r="X15" s="4" t="s">
        <v>22</v>
      </c>
      <c r="Y15" s="4" t="s">
        <v>22</v>
      </c>
      <c r="Z15" s="4" t="s">
        <v>22</v>
      </c>
      <c r="AA15" s="4" t="s">
        <v>22</v>
      </c>
    </row>
    <row r="16" customFormat="false" ht="15" hidden="false" customHeight="false" outlineLevel="0" collapsed="false">
      <c r="A16" s="2" t="s">
        <v>38</v>
      </c>
      <c r="B16" s="3" t="s">
        <v>19</v>
      </c>
      <c r="C16" s="4" t="s">
        <v>22</v>
      </c>
      <c r="D16" s="4" t="s">
        <v>22</v>
      </c>
      <c r="E16" s="3" t="n">
        <v>0</v>
      </c>
      <c r="F16" s="3" t="n">
        <v>0</v>
      </c>
      <c r="G16" s="3" t="n">
        <v>1</v>
      </c>
      <c r="H16" s="3" t="n">
        <v>1</v>
      </c>
      <c r="I16" s="3" t="s">
        <v>218</v>
      </c>
      <c r="J16" s="3" t="n">
        <v>1000</v>
      </c>
      <c r="K16" s="3" t="n">
        <v>30</v>
      </c>
      <c r="L16" s="3" t="s">
        <v>330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-1</v>
      </c>
      <c r="R16" s="3" t="n">
        <v>-1</v>
      </c>
      <c r="S16" s="3" t="s">
        <v>262</v>
      </c>
      <c r="T16" s="3" t="n">
        <v>1</v>
      </c>
      <c r="U16" s="3" t="n">
        <v>1</v>
      </c>
      <c r="V16" s="3" t="n">
        <v>60</v>
      </c>
      <c r="W16" s="3" t="s">
        <v>330</v>
      </c>
      <c r="X16" s="4" t="s">
        <v>22</v>
      </c>
      <c r="Y16" s="4" t="s">
        <v>22</v>
      </c>
      <c r="Z16" s="4" t="s">
        <v>22</v>
      </c>
      <c r="AA16" s="4" t="s">
        <v>22</v>
      </c>
    </row>
    <row r="17" customFormat="false" ht="15" hidden="false" customHeight="false" outlineLevel="0" collapsed="false">
      <c r="A17" s="2" t="s">
        <v>39</v>
      </c>
      <c r="B17" s="3" t="s">
        <v>40</v>
      </c>
      <c r="C17" s="4" t="s">
        <v>22</v>
      </c>
      <c r="D17" s="4" t="s">
        <v>22</v>
      </c>
      <c r="E17" s="3" t="n">
        <v>0</v>
      </c>
      <c r="F17" s="3" t="n">
        <v>0</v>
      </c>
      <c r="G17" s="3" t="n">
        <v>1</v>
      </c>
      <c r="H17" s="3" t="n">
        <v>1</v>
      </c>
      <c r="I17" s="3" t="s">
        <v>218</v>
      </c>
      <c r="J17" s="4" t="s">
        <v>22</v>
      </c>
      <c r="K17" s="4" t="s">
        <v>22</v>
      </c>
      <c r="L17" s="3" t="s">
        <v>218</v>
      </c>
      <c r="M17" s="3" t="n">
        <v>1</v>
      </c>
      <c r="N17" s="4" t="s">
        <v>22</v>
      </c>
      <c r="O17" s="4" t="s">
        <v>22</v>
      </c>
      <c r="P17" s="4" t="s">
        <v>22</v>
      </c>
      <c r="Q17" s="4" t="s">
        <v>22</v>
      </c>
      <c r="R17" s="4" t="s">
        <v>22</v>
      </c>
      <c r="S17" s="4" t="s">
        <v>22</v>
      </c>
      <c r="T17" s="4" t="s">
        <v>22</v>
      </c>
      <c r="U17" s="4" t="s">
        <v>22</v>
      </c>
      <c r="V17" s="4" t="s">
        <v>22</v>
      </c>
      <c r="W17" s="3" t="s">
        <v>218</v>
      </c>
      <c r="X17" s="4" t="s">
        <v>22</v>
      </c>
      <c r="Y17" s="4" t="s">
        <v>22</v>
      </c>
      <c r="Z17" s="4" t="s">
        <v>22</v>
      </c>
      <c r="AA17" s="4" t="s">
        <v>22</v>
      </c>
    </row>
    <row r="18" customFormat="false" ht="15" hidden="false" customHeight="false" outlineLevel="0" collapsed="false">
      <c r="A18" s="2" t="s">
        <v>41</v>
      </c>
      <c r="B18" s="3" t="s">
        <v>19</v>
      </c>
      <c r="C18" s="4" t="s">
        <v>22</v>
      </c>
      <c r="D18" s="4" t="s">
        <v>22</v>
      </c>
      <c r="E18" s="3" t="n">
        <v>0</v>
      </c>
      <c r="F18" s="3" t="n">
        <v>0</v>
      </c>
      <c r="G18" s="3" t="n">
        <v>1</v>
      </c>
      <c r="H18" s="3" t="n">
        <v>1</v>
      </c>
      <c r="I18" s="3" t="s">
        <v>218</v>
      </c>
      <c r="J18" s="3" t="n">
        <v>1000</v>
      </c>
      <c r="K18" s="3" t="n">
        <v>30</v>
      </c>
      <c r="L18" s="3" t="s">
        <v>330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-1</v>
      </c>
      <c r="R18" s="3" t="n">
        <v>-1</v>
      </c>
      <c r="S18" s="3" t="s">
        <v>262</v>
      </c>
      <c r="T18" s="3" t="n">
        <v>0</v>
      </c>
      <c r="U18" s="3" t="n">
        <v>0</v>
      </c>
      <c r="V18" s="3" t="n">
        <v>60</v>
      </c>
      <c r="W18" s="3" t="s">
        <v>330</v>
      </c>
      <c r="X18" s="4" t="s">
        <v>22</v>
      </c>
      <c r="Y18" s="4" t="s">
        <v>22</v>
      </c>
      <c r="Z18" s="4" t="s">
        <v>22</v>
      </c>
      <c r="AA18" s="4" t="s">
        <v>22</v>
      </c>
    </row>
    <row r="19" customFormat="false" ht="15" hidden="false" customHeight="false" outlineLevel="0" collapsed="false">
      <c r="A19" s="2" t="s">
        <v>42</v>
      </c>
      <c r="B19" s="3" t="s">
        <v>19</v>
      </c>
      <c r="C19" s="4" t="s">
        <v>22</v>
      </c>
      <c r="D19" s="4" t="s">
        <v>22</v>
      </c>
      <c r="E19" s="3" t="n">
        <v>0</v>
      </c>
      <c r="F19" s="3" t="n">
        <v>0</v>
      </c>
      <c r="G19" s="3" t="n">
        <v>1</v>
      </c>
      <c r="H19" s="3" t="n">
        <v>1</v>
      </c>
      <c r="I19" s="3" t="s">
        <v>218</v>
      </c>
      <c r="J19" s="3" t="n">
        <v>1000</v>
      </c>
      <c r="K19" s="3" t="n">
        <v>30</v>
      </c>
      <c r="L19" s="3" t="s">
        <v>218</v>
      </c>
      <c r="M19" s="3" t="n">
        <v>1</v>
      </c>
      <c r="N19" s="3" t="n">
        <v>0</v>
      </c>
      <c r="O19" s="3" t="n">
        <v>0</v>
      </c>
      <c r="P19" s="3" t="n">
        <v>0</v>
      </c>
      <c r="Q19" s="3" t="n">
        <v>-1</v>
      </c>
      <c r="R19" s="3" t="n">
        <v>-1</v>
      </c>
      <c r="S19" s="3" t="s">
        <v>262</v>
      </c>
      <c r="T19" s="3" t="n">
        <v>1</v>
      </c>
      <c r="U19" s="3" t="n">
        <v>1</v>
      </c>
      <c r="V19" s="3" t="n">
        <v>60</v>
      </c>
      <c r="W19" s="3" t="s">
        <v>330</v>
      </c>
      <c r="X19" s="3" t="n">
        <v>0</v>
      </c>
      <c r="Y19" s="3" t="n">
        <v>20</v>
      </c>
      <c r="Z19" s="3" t="n">
        <v>40</v>
      </c>
      <c r="AA19" s="3" t="n">
        <v>30</v>
      </c>
    </row>
    <row r="20" customFormat="false" ht="15" hidden="false" customHeight="false" outlineLevel="0" collapsed="false">
      <c r="A20" s="2" t="s">
        <v>43</v>
      </c>
      <c r="B20" s="3" t="s">
        <v>19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1</v>
      </c>
      <c r="I20" s="3" t="s">
        <v>218</v>
      </c>
      <c r="J20" s="3" t="n">
        <v>1000</v>
      </c>
      <c r="K20" s="3" t="n">
        <v>30</v>
      </c>
      <c r="L20" s="3" t="s">
        <v>218</v>
      </c>
      <c r="M20" s="3" t="n">
        <v>1</v>
      </c>
      <c r="N20" s="3" t="n">
        <v>0</v>
      </c>
      <c r="O20" s="3" t="n">
        <v>0</v>
      </c>
      <c r="P20" s="3" t="n">
        <v>0</v>
      </c>
      <c r="Q20" s="3" t="n">
        <v>-1</v>
      </c>
      <c r="R20" s="3" t="n">
        <v>-1</v>
      </c>
      <c r="S20" s="3" t="s">
        <v>262</v>
      </c>
      <c r="T20" s="3" t="n">
        <v>0</v>
      </c>
      <c r="U20" s="3" t="n">
        <v>0</v>
      </c>
      <c r="V20" s="3" t="n">
        <v>60</v>
      </c>
      <c r="W20" s="3" t="s">
        <v>330</v>
      </c>
      <c r="X20" s="4" t="s">
        <v>22</v>
      </c>
      <c r="Y20" s="4" t="s">
        <v>22</v>
      </c>
      <c r="Z20" s="4" t="s">
        <v>22</v>
      </c>
      <c r="AA20" s="4" t="s">
        <v>22</v>
      </c>
    </row>
    <row r="21" customFormat="false" ht="15" hidden="false" customHeight="false" outlineLevel="0" collapsed="false">
      <c r="A21" s="2" t="s">
        <v>44</v>
      </c>
      <c r="B21" s="3" t="s">
        <v>19</v>
      </c>
      <c r="C21" s="4" t="s">
        <v>22</v>
      </c>
      <c r="D21" s="4" t="s">
        <v>22</v>
      </c>
      <c r="E21" s="3" t="n">
        <v>0</v>
      </c>
      <c r="F21" s="3" t="n">
        <v>0</v>
      </c>
      <c r="G21" s="3" t="n">
        <v>1</v>
      </c>
      <c r="H21" s="3" t="n">
        <v>1</v>
      </c>
      <c r="I21" s="3" t="s">
        <v>218</v>
      </c>
      <c r="J21" s="3" t="n">
        <v>1000</v>
      </c>
      <c r="K21" s="3" t="n">
        <v>30</v>
      </c>
      <c r="L21" s="3" t="s">
        <v>218</v>
      </c>
      <c r="M21" s="3" t="n">
        <v>1</v>
      </c>
      <c r="N21" s="3" t="n">
        <v>0</v>
      </c>
      <c r="O21" s="3" t="n">
        <v>0</v>
      </c>
      <c r="P21" s="3" t="n">
        <v>0</v>
      </c>
      <c r="Q21" s="3" t="n">
        <v>-1</v>
      </c>
      <c r="R21" s="3" t="n">
        <v>-1</v>
      </c>
      <c r="S21" s="3" t="s">
        <v>262</v>
      </c>
      <c r="T21" s="3" t="n">
        <v>1</v>
      </c>
      <c r="U21" s="3" t="n">
        <v>1</v>
      </c>
      <c r="V21" s="3" t="n">
        <v>60</v>
      </c>
      <c r="W21" s="3" t="s">
        <v>330</v>
      </c>
      <c r="X21" s="3" t="n">
        <v>0</v>
      </c>
      <c r="Y21" s="3" t="n">
        <v>20</v>
      </c>
      <c r="Z21" s="3" t="n">
        <v>40</v>
      </c>
      <c r="AA21" s="3" t="n">
        <v>30</v>
      </c>
    </row>
    <row r="22" customFormat="false" ht="15" hidden="false" customHeight="false" outlineLevel="0" collapsed="false">
      <c r="A22" s="2" t="s">
        <v>45</v>
      </c>
      <c r="B22" s="3" t="s">
        <v>19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1</v>
      </c>
      <c r="I22" s="3" t="s">
        <v>218</v>
      </c>
      <c r="J22" s="3" t="n">
        <v>1000</v>
      </c>
      <c r="K22" s="3" t="n">
        <v>30</v>
      </c>
      <c r="L22" s="3" t="s">
        <v>330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-1</v>
      </c>
      <c r="R22" s="3" t="n">
        <v>-1</v>
      </c>
      <c r="S22" s="3" t="s">
        <v>262</v>
      </c>
      <c r="T22" s="3" t="n">
        <v>0</v>
      </c>
      <c r="U22" s="3" t="n">
        <v>0</v>
      </c>
      <c r="V22" s="3" t="n">
        <v>5</v>
      </c>
      <c r="W22" s="3" t="s">
        <v>330</v>
      </c>
      <c r="X22" s="4" t="s">
        <v>22</v>
      </c>
      <c r="Y22" s="4" t="s">
        <v>22</v>
      </c>
      <c r="Z22" s="4" t="s">
        <v>22</v>
      </c>
      <c r="AA22" s="4" t="s">
        <v>22</v>
      </c>
    </row>
    <row r="23" customFormat="false" ht="15" hidden="false" customHeight="false" outlineLevel="0" collapsed="false">
      <c r="A23" s="2" t="s">
        <v>46</v>
      </c>
      <c r="B23" s="3" t="s">
        <v>19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</v>
      </c>
      <c r="H23" s="3" t="n">
        <v>1</v>
      </c>
      <c r="I23" s="3" t="s">
        <v>218</v>
      </c>
      <c r="J23" s="3" t="n">
        <v>1000</v>
      </c>
      <c r="K23" s="3" t="n">
        <v>30</v>
      </c>
      <c r="L23" s="3" t="s">
        <v>330</v>
      </c>
      <c r="M23" s="3" t="n">
        <v>1</v>
      </c>
      <c r="N23" s="3" t="n">
        <v>0</v>
      </c>
      <c r="O23" s="3" t="n">
        <v>0</v>
      </c>
      <c r="P23" s="3" t="n">
        <v>0</v>
      </c>
      <c r="Q23" s="3" t="n">
        <v>-1</v>
      </c>
      <c r="R23" s="3" t="n">
        <v>-1</v>
      </c>
      <c r="S23" s="3" t="s">
        <v>262</v>
      </c>
      <c r="T23" s="3" t="n">
        <v>0</v>
      </c>
      <c r="U23" s="3" t="n">
        <v>0</v>
      </c>
      <c r="V23" s="3" t="n">
        <v>5</v>
      </c>
      <c r="W23" s="3" t="s">
        <v>330</v>
      </c>
      <c r="X23" s="4" t="s">
        <v>22</v>
      </c>
      <c r="Y23" s="4" t="s">
        <v>22</v>
      </c>
      <c r="Z23" s="4" t="s">
        <v>22</v>
      </c>
      <c r="AA23" s="4" t="s">
        <v>22</v>
      </c>
    </row>
    <row r="24" customFormat="false" ht="15" hidden="false" customHeight="false" outlineLevel="0" collapsed="false">
      <c r="A24" s="2" t="s">
        <v>47</v>
      </c>
      <c r="B24" s="3" t="s">
        <v>19</v>
      </c>
      <c r="C24" s="4" t="s">
        <v>22</v>
      </c>
      <c r="D24" s="4" t="s">
        <v>22</v>
      </c>
      <c r="E24" s="3" t="n">
        <v>0</v>
      </c>
      <c r="F24" s="3" t="n">
        <v>0</v>
      </c>
      <c r="G24" s="3" t="n">
        <v>1</v>
      </c>
      <c r="H24" s="3" t="n">
        <v>1</v>
      </c>
      <c r="I24" s="3" t="s">
        <v>218</v>
      </c>
      <c r="J24" s="3" t="n">
        <v>1000</v>
      </c>
      <c r="K24" s="3" t="n">
        <v>30</v>
      </c>
      <c r="L24" s="3" t="s">
        <v>330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-1</v>
      </c>
      <c r="R24" s="3" t="n">
        <v>-1</v>
      </c>
      <c r="S24" s="3" t="s">
        <v>262</v>
      </c>
      <c r="T24" s="3" t="n">
        <v>1</v>
      </c>
      <c r="U24" s="3" t="n">
        <v>1</v>
      </c>
      <c r="V24" s="3" t="n">
        <v>60</v>
      </c>
      <c r="W24" s="3" t="s">
        <v>330</v>
      </c>
      <c r="X24" s="4" t="s">
        <v>22</v>
      </c>
      <c r="Y24" s="4" t="s">
        <v>22</v>
      </c>
      <c r="Z24" s="4" t="s">
        <v>22</v>
      </c>
      <c r="AA24" s="4" t="s">
        <v>22</v>
      </c>
    </row>
    <row r="25" customFormat="false" ht="15" hidden="false" customHeight="false" outlineLevel="0" collapsed="false">
      <c r="A25" s="2" t="s">
        <v>48</v>
      </c>
      <c r="B25" s="3" t="s">
        <v>19</v>
      </c>
      <c r="C25" s="4" t="s">
        <v>22</v>
      </c>
      <c r="D25" s="4" t="s">
        <v>22</v>
      </c>
      <c r="E25" s="3" t="n">
        <v>0</v>
      </c>
      <c r="F25" s="3" t="n">
        <v>0</v>
      </c>
      <c r="G25" s="3" t="n">
        <v>1</v>
      </c>
      <c r="H25" s="3" t="n">
        <v>1</v>
      </c>
      <c r="I25" s="3" t="s">
        <v>218</v>
      </c>
      <c r="J25" s="3" t="n">
        <v>1000</v>
      </c>
      <c r="K25" s="3" t="n">
        <v>30</v>
      </c>
      <c r="L25" s="3" t="s">
        <v>330</v>
      </c>
      <c r="M25" s="3" t="n">
        <v>1</v>
      </c>
      <c r="N25" s="3" t="n">
        <v>0</v>
      </c>
      <c r="O25" s="3" t="n">
        <v>0</v>
      </c>
      <c r="P25" s="3" t="n">
        <v>0</v>
      </c>
      <c r="Q25" s="3" t="n">
        <v>-1</v>
      </c>
      <c r="R25" s="3" t="n">
        <v>-1</v>
      </c>
      <c r="S25" s="3" t="s">
        <v>262</v>
      </c>
      <c r="T25" s="3" t="n">
        <v>1</v>
      </c>
      <c r="U25" s="3" t="n">
        <v>1</v>
      </c>
      <c r="V25" s="3" t="n">
        <v>60</v>
      </c>
      <c r="W25" s="3" t="s">
        <v>330</v>
      </c>
      <c r="X25" s="4" t="s">
        <v>22</v>
      </c>
      <c r="Y25" s="4" t="s">
        <v>22</v>
      </c>
      <c r="Z25" s="4" t="s">
        <v>22</v>
      </c>
      <c r="AA25" s="4" t="s">
        <v>22</v>
      </c>
    </row>
    <row r="26" customFormat="false" ht="15" hidden="false" customHeight="false" outlineLevel="0" collapsed="false">
      <c r="A26" s="2" t="s">
        <v>49</v>
      </c>
      <c r="B26" s="3" t="s">
        <v>19</v>
      </c>
      <c r="C26" s="4" t="s">
        <v>22</v>
      </c>
      <c r="D26" s="4" t="s">
        <v>22</v>
      </c>
      <c r="E26" s="3" t="n">
        <v>0</v>
      </c>
      <c r="F26" s="3" t="n">
        <v>0</v>
      </c>
      <c r="G26" s="3" t="n">
        <v>1</v>
      </c>
      <c r="H26" s="3" t="n">
        <v>1</v>
      </c>
      <c r="I26" s="3" t="s">
        <v>218</v>
      </c>
      <c r="J26" s="3" t="n">
        <v>1000</v>
      </c>
      <c r="K26" s="3" t="n">
        <v>30</v>
      </c>
      <c r="L26" s="3" t="s">
        <v>330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-1</v>
      </c>
      <c r="R26" s="3" t="n">
        <v>-1</v>
      </c>
      <c r="S26" s="3" t="s">
        <v>262</v>
      </c>
      <c r="T26" s="3" t="n">
        <v>1</v>
      </c>
      <c r="U26" s="3" t="n">
        <v>1</v>
      </c>
      <c r="V26" s="3" t="n">
        <v>60</v>
      </c>
      <c r="W26" s="3" t="s">
        <v>330</v>
      </c>
      <c r="X26" s="4" t="s">
        <v>22</v>
      </c>
      <c r="Y26" s="4" t="s">
        <v>22</v>
      </c>
      <c r="Z26" s="4" t="s">
        <v>22</v>
      </c>
      <c r="AA26" s="4" t="s">
        <v>22</v>
      </c>
    </row>
    <row r="27" customFormat="false" ht="15" hidden="false" customHeight="false" outlineLevel="0" collapsed="false">
      <c r="A27" s="2" t="s">
        <v>50</v>
      </c>
      <c r="B27" s="3" t="s">
        <v>40</v>
      </c>
      <c r="C27" s="4" t="s">
        <v>22</v>
      </c>
      <c r="D27" s="4" t="s">
        <v>22</v>
      </c>
      <c r="E27" s="3" t="n">
        <v>0</v>
      </c>
      <c r="F27" s="3" t="n">
        <v>0</v>
      </c>
      <c r="G27" s="3" t="n">
        <v>1</v>
      </c>
      <c r="H27" s="3" t="n">
        <v>1</v>
      </c>
      <c r="I27" s="3" t="s">
        <v>218</v>
      </c>
      <c r="J27" s="4" t="s">
        <v>22</v>
      </c>
      <c r="K27" s="4" t="s">
        <v>22</v>
      </c>
      <c r="L27" s="3" t="s">
        <v>330</v>
      </c>
      <c r="M27" s="3" t="n">
        <v>1</v>
      </c>
      <c r="N27" s="4" t="s">
        <v>22</v>
      </c>
      <c r="O27" s="4" t="s">
        <v>22</v>
      </c>
      <c r="P27" s="4" t="s">
        <v>22</v>
      </c>
      <c r="Q27" s="4" t="s">
        <v>22</v>
      </c>
      <c r="R27" s="4" t="s">
        <v>22</v>
      </c>
      <c r="S27" s="4" t="s">
        <v>22</v>
      </c>
      <c r="T27" s="4" t="s">
        <v>22</v>
      </c>
      <c r="U27" s="4" t="s">
        <v>22</v>
      </c>
      <c r="V27" s="4" t="s">
        <v>22</v>
      </c>
      <c r="W27" s="3" t="s">
        <v>330</v>
      </c>
      <c r="X27" s="4" t="s">
        <v>22</v>
      </c>
      <c r="Y27" s="4" t="s">
        <v>22</v>
      </c>
      <c r="Z27" s="4" t="s">
        <v>22</v>
      </c>
      <c r="AA27" s="4" t="s">
        <v>22</v>
      </c>
    </row>
    <row r="28" customFormat="false" ht="15" hidden="false" customHeight="false" outlineLevel="0" collapsed="false">
      <c r="A28" s="2" t="s">
        <v>51</v>
      </c>
      <c r="B28" s="3" t="s">
        <v>19</v>
      </c>
      <c r="C28" s="4" t="s">
        <v>22</v>
      </c>
      <c r="D28" s="4" t="s">
        <v>22</v>
      </c>
      <c r="E28" s="3" t="n">
        <v>1</v>
      </c>
      <c r="F28" s="3" t="n">
        <v>1</v>
      </c>
      <c r="G28" s="3" t="n">
        <v>1</v>
      </c>
      <c r="H28" s="3" t="n">
        <v>1</v>
      </c>
      <c r="I28" s="3" t="s">
        <v>218</v>
      </c>
      <c r="J28" s="3" t="n">
        <v>1000</v>
      </c>
      <c r="K28" s="3" t="n">
        <v>30</v>
      </c>
      <c r="L28" s="3" t="s">
        <v>330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-1</v>
      </c>
      <c r="R28" s="3" t="n">
        <v>-1</v>
      </c>
      <c r="S28" s="3" t="s">
        <v>262</v>
      </c>
      <c r="T28" s="3" t="n">
        <v>1</v>
      </c>
      <c r="U28" s="3" t="n">
        <v>1</v>
      </c>
      <c r="V28" s="3" t="n">
        <v>60</v>
      </c>
      <c r="W28" s="3" t="s">
        <v>330</v>
      </c>
      <c r="X28" s="3" t="n">
        <v>0</v>
      </c>
      <c r="Y28" s="3" t="n">
        <v>20</v>
      </c>
      <c r="Z28" s="3" t="n">
        <v>40</v>
      </c>
      <c r="AA28" s="3" t="n">
        <v>30</v>
      </c>
    </row>
    <row r="29" customFormat="false" ht="15" hidden="false" customHeight="false" outlineLevel="0" collapsed="false">
      <c r="A29" s="2" t="s">
        <v>52</v>
      </c>
      <c r="B29" s="3" t="s">
        <v>19</v>
      </c>
      <c r="C29" s="4" t="s">
        <v>22</v>
      </c>
      <c r="D29" s="4" t="s">
        <v>22</v>
      </c>
      <c r="E29" s="3" t="n">
        <v>1</v>
      </c>
      <c r="F29" s="3" t="n">
        <v>1</v>
      </c>
      <c r="G29" s="3" t="n">
        <v>1</v>
      </c>
      <c r="H29" s="3" t="n">
        <v>1</v>
      </c>
      <c r="I29" s="3" t="s">
        <v>218</v>
      </c>
      <c r="J29" s="3" t="n">
        <v>1000</v>
      </c>
      <c r="K29" s="3" t="n">
        <v>30</v>
      </c>
      <c r="L29" s="3" t="s">
        <v>330</v>
      </c>
      <c r="M29" s="3" t="n">
        <v>1</v>
      </c>
      <c r="N29" s="3" t="n">
        <v>0</v>
      </c>
      <c r="O29" s="3" t="n">
        <v>0</v>
      </c>
      <c r="P29" s="3" t="n">
        <v>0</v>
      </c>
      <c r="Q29" s="3" t="n">
        <v>-1</v>
      </c>
      <c r="R29" s="3" t="n">
        <v>-1</v>
      </c>
      <c r="S29" s="3" t="s">
        <v>262</v>
      </c>
      <c r="T29" s="3" t="n">
        <v>1</v>
      </c>
      <c r="U29" s="3" t="n">
        <v>1</v>
      </c>
      <c r="V29" s="3" t="n">
        <v>60</v>
      </c>
      <c r="W29" s="3" t="s">
        <v>330</v>
      </c>
      <c r="X29" s="4" t="s">
        <v>22</v>
      </c>
      <c r="Y29" s="4" t="s">
        <v>22</v>
      </c>
      <c r="Z29" s="4" t="s">
        <v>22</v>
      </c>
      <c r="AA29" s="4" t="s">
        <v>22</v>
      </c>
    </row>
  </sheetData>
  <conditionalFormatting sqref="B2:B29">
    <cfRule type="expression" priority="2" aboveAverage="0" equalAverage="0" bottom="0" percent="0" rank="0" text="" dxfId="6">
      <formula>LEFT(B2,4)="HTTP"</formula>
    </cfRule>
    <cfRule type="expression" priority="3" aboveAverage="0" equalAverage="0" bottom="0" percent="0" rank="0" text="" dxfId="7">
      <formula>ISNUMBER(SEARCH("/web/",B2))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75"/>
    <col collapsed="false" customWidth="true" hidden="false" outlineLevel="0" max="4" min="4" style="0" width="20"/>
  </cols>
  <sheetData>
    <row r="1" customFormat="false" ht="19.5" hidden="false" customHeight="true" outlineLevel="0" collapsed="false">
      <c r="A1" s="1" t="s">
        <v>331</v>
      </c>
      <c r="B1" s="1" t="s">
        <v>177</v>
      </c>
      <c r="C1" s="1" t="s">
        <v>332</v>
      </c>
      <c r="D1" s="1" t="s">
        <v>333</v>
      </c>
    </row>
    <row r="2" customFormat="false" ht="23.85" hidden="false" customHeight="false" outlineLevel="0" collapsed="false">
      <c r="A2" s="39" t="s">
        <v>334</v>
      </c>
      <c r="B2" s="40" t="s">
        <v>197</v>
      </c>
      <c r="C2" s="40" t="s">
        <v>335</v>
      </c>
      <c r="D2" s="40" t="s">
        <v>336</v>
      </c>
    </row>
    <row r="3" customFormat="false" ht="15" hidden="false" customHeight="false" outlineLevel="0" collapsed="false">
      <c r="A3" s="39" t="s">
        <v>337</v>
      </c>
      <c r="B3" s="40" t="s">
        <v>338</v>
      </c>
      <c r="C3" s="40" t="s">
        <v>339</v>
      </c>
      <c r="D3" s="40" t="s">
        <v>210</v>
      </c>
    </row>
    <row r="4" customFormat="false" ht="23.85" hidden="false" customHeight="false" outlineLevel="0" collapsed="false">
      <c r="A4" s="39" t="s">
        <v>214</v>
      </c>
      <c r="B4" s="40" t="s">
        <v>216</v>
      </c>
      <c r="C4" s="40" t="s">
        <v>340</v>
      </c>
      <c r="D4" s="40" t="s">
        <v>210</v>
      </c>
    </row>
    <row r="5" customFormat="false" ht="23.85" hidden="false" customHeight="false" outlineLevel="0" collapsed="false">
      <c r="A5" s="39" t="s">
        <v>229</v>
      </c>
      <c r="B5" s="40" t="s">
        <v>231</v>
      </c>
      <c r="C5" s="40" t="s">
        <v>341</v>
      </c>
      <c r="D5" s="40" t="s">
        <v>210</v>
      </c>
    </row>
    <row r="6" customFormat="false" ht="15" hidden="false" customHeight="false" outlineLevel="0" collapsed="false">
      <c r="A6" s="39" t="s">
        <v>280</v>
      </c>
      <c r="B6" s="40" t="s">
        <v>283</v>
      </c>
      <c r="C6" s="40" t="s">
        <v>342</v>
      </c>
      <c r="D6" s="40" t="s">
        <v>210</v>
      </c>
    </row>
    <row r="7" customFormat="false" ht="15" hidden="false" customHeight="false" outlineLevel="0" collapsed="false">
      <c r="A7" s="39" t="s">
        <v>270</v>
      </c>
      <c r="B7" s="40" t="s">
        <v>272</v>
      </c>
      <c r="C7" s="40" t="s">
        <v>343</v>
      </c>
      <c r="D7" s="40" t="s">
        <v>210</v>
      </c>
    </row>
    <row r="8" customFormat="false" ht="15" hidden="false" customHeight="false" outlineLevel="0" collapsed="false">
      <c r="A8" s="39" t="s">
        <v>264</v>
      </c>
      <c r="B8" s="40" t="s">
        <v>186</v>
      </c>
      <c r="C8" s="40" t="s">
        <v>344</v>
      </c>
      <c r="D8" s="40" t="s">
        <v>191</v>
      </c>
    </row>
    <row r="9" customFormat="false" ht="15" hidden="false" customHeight="false" outlineLevel="0" collapsed="false">
      <c r="A9" s="39" t="s">
        <v>275</v>
      </c>
      <c r="B9" s="40" t="s">
        <v>186</v>
      </c>
      <c r="C9" s="40" t="s">
        <v>345</v>
      </c>
      <c r="D9" s="40" t="s">
        <v>191</v>
      </c>
    </row>
    <row r="10" customFormat="false" ht="15" hidden="false" customHeight="false" outlineLevel="0" collapsed="false">
      <c r="A10" s="39" t="s">
        <v>285</v>
      </c>
      <c r="B10" s="40" t="s">
        <v>186</v>
      </c>
      <c r="C10" s="40" t="s">
        <v>346</v>
      </c>
      <c r="D10" s="40" t="s">
        <v>191</v>
      </c>
    </row>
    <row r="11" customFormat="false" ht="15" hidden="false" customHeight="false" outlineLevel="0" collapsed="false">
      <c r="A11" s="39" t="s">
        <v>347</v>
      </c>
      <c r="B11" s="40" t="s">
        <v>186</v>
      </c>
      <c r="C11" s="40" t="s">
        <v>348</v>
      </c>
      <c r="D11" s="40" t="s">
        <v>191</v>
      </c>
    </row>
    <row r="12" customFormat="false" ht="15" hidden="false" customHeight="false" outlineLevel="0" collapsed="false">
      <c r="A12" s="39" t="s">
        <v>349</v>
      </c>
      <c r="B12" s="40" t="s">
        <v>186</v>
      </c>
      <c r="C12" s="40" t="s">
        <v>350</v>
      </c>
      <c r="D12" s="40" t="s">
        <v>191</v>
      </c>
    </row>
    <row r="13" customFormat="false" ht="15" hidden="false" customHeight="false" outlineLevel="0" collapsed="false">
      <c r="A13" s="39" t="s">
        <v>219</v>
      </c>
      <c r="B13" s="40" t="s">
        <v>186</v>
      </c>
      <c r="C13" s="40" t="s">
        <v>351</v>
      </c>
      <c r="D13" s="40" t="s">
        <v>191</v>
      </c>
    </row>
    <row r="14" customFormat="false" ht="15" hidden="false" customHeight="false" outlineLevel="0" collapsed="false">
      <c r="A14" s="39" t="s">
        <v>225</v>
      </c>
      <c r="B14" s="40" t="s">
        <v>186</v>
      </c>
      <c r="C14" s="40" t="s">
        <v>352</v>
      </c>
      <c r="D14" s="40" t="s">
        <v>191</v>
      </c>
    </row>
    <row r="15" customFormat="false" ht="15" hidden="false" customHeight="false" outlineLevel="0" collapsed="false">
      <c r="A15" s="39" t="s">
        <v>234</v>
      </c>
      <c r="B15" s="40" t="s">
        <v>186</v>
      </c>
      <c r="C15" s="40" t="s">
        <v>353</v>
      </c>
      <c r="D15" s="40" t="s">
        <v>191</v>
      </c>
    </row>
    <row r="16" customFormat="false" ht="15" hidden="false" customHeight="false" outlineLevel="0" collapsed="false">
      <c r="A16" s="39" t="s">
        <v>243</v>
      </c>
      <c r="B16" s="40" t="s">
        <v>186</v>
      </c>
      <c r="C16" s="40" t="s">
        <v>354</v>
      </c>
      <c r="D16" s="40" t="s">
        <v>191</v>
      </c>
    </row>
    <row r="17" customFormat="false" ht="23.85" hidden="false" customHeight="false" outlineLevel="0" collapsed="false">
      <c r="A17" s="39" t="s">
        <v>238</v>
      </c>
      <c r="B17" s="40" t="s">
        <v>186</v>
      </c>
      <c r="C17" s="40" t="s">
        <v>355</v>
      </c>
      <c r="D17" s="40" t="s">
        <v>242</v>
      </c>
    </row>
    <row r="18" customFormat="false" ht="15" hidden="false" customHeight="false" outlineLevel="0" collapsed="false">
      <c r="A18" s="39" t="s">
        <v>247</v>
      </c>
      <c r="B18" s="40" t="s">
        <v>186</v>
      </c>
      <c r="C18" s="40" t="s">
        <v>356</v>
      </c>
      <c r="D18" s="40" t="s">
        <v>191</v>
      </c>
    </row>
    <row r="19" customFormat="false" ht="15" hidden="false" customHeight="false" outlineLevel="0" collapsed="false">
      <c r="A19" s="39" t="s">
        <v>357</v>
      </c>
      <c r="B19" s="40" t="s">
        <v>186</v>
      </c>
      <c r="C19" s="40" t="s">
        <v>358</v>
      </c>
      <c r="D19" s="40" t="s">
        <v>191</v>
      </c>
    </row>
    <row r="20" customFormat="false" ht="15" hidden="false" customHeight="false" outlineLevel="0" collapsed="false">
      <c r="A20" s="39" t="s">
        <v>259</v>
      </c>
      <c r="B20" s="40" t="s">
        <v>186</v>
      </c>
      <c r="C20" s="40" t="s">
        <v>359</v>
      </c>
      <c r="D20" s="40" t="s">
        <v>191</v>
      </c>
    </row>
    <row r="21" customFormat="false" ht="23.85" hidden="false" customHeight="false" outlineLevel="0" collapsed="false">
      <c r="A21" s="39" t="s">
        <v>360</v>
      </c>
      <c r="B21" s="40" t="s">
        <v>186</v>
      </c>
      <c r="C21" s="40" t="s">
        <v>361</v>
      </c>
      <c r="D21" s="40"/>
    </row>
    <row r="22" customFormat="false" ht="57.45" hidden="false" customHeight="false" outlineLevel="0" collapsed="false">
      <c r="A22" s="39" t="s">
        <v>362</v>
      </c>
      <c r="B22" s="40" t="s">
        <v>186</v>
      </c>
      <c r="C22" s="40" t="s">
        <v>363</v>
      </c>
      <c r="D22" s="40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2026-09-25T19:57:27Z</dcterms:created>
  <dc:creator>openpyxl</dc:creator>
  <dc:description/>
  <dc:language>en-US</dc:language>
  <cp:lastModifiedBy/>
  <dcterms:modified xsi:type="dcterms:W3CDTF">2026-09-25T19:57:27Z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